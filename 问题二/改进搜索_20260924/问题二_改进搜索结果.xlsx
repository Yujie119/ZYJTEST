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汇总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核验_架次详情" sheetId="4" state="visible" r:id="rId4"/>
    <sheet xmlns:r="http://schemas.openxmlformats.org/officeDocument/2006/relationships" name="核验_逐箱" sheetId="5" state="visible" r:id="rId5"/>
    <sheet xmlns:r="http://schemas.openxmlformats.org/officeDocument/2006/relationships" name="核验_资源事件" sheetId="6" state="visible" r:id="rId6"/>
    <sheet xmlns:r="http://schemas.openxmlformats.org/officeDocument/2006/relationships" name="核验_资源汇总" sheetId="7" state="visible" r:id="rId7"/>
    <sheet xmlns:r="http://schemas.openxmlformats.org/officeDocument/2006/relationships" name="联合非支配档案" sheetId="8" state="visible" r:id="rId8"/>
    <sheet xmlns:r="http://schemas.openxmlformats.org/officeDocument/2006/relationships" name="求解说明" sheetId="9" state="visible" r:id="rId9"/>
  </sheets>
  <definedNames>
    <definedName name="_xlnm.Print_Titles" localSheetId="0">'指标汇总'!$1:$1</definedName>
    <definedName name="_xlnm.Print_Area" localSheetId="0">'指标汇总'!$A$1:$E$14</definedName>
    <definedName name="_xlnm._FilterDatabase" localSheetId="1" hidden="1">'Q2_运输架次'!$A$1:$H$26</definedName>
    <definedName name="_xlnm.Print_Titles" localSheetId="1">'Q2_运输架次'!$1:$1</definedName>
    <definedName name="_xlnm.Print_Area" localSheetId="1">'Q2_运输架次'!$A$1:$H$26</definedName>
    <definedName name="_xlnm._FilterDatabase" localSheetId="2" hidden="1">'Q2_逐箱交付'!$A$1:$D$81</definedName>
    <definedName name="_xlnm.Print_Titles" localSheetId="2">'Q2_逐箱交付'!$1:$1</definedName>
    <definedName name="_xlnm.Print_Area" localSheetId="2">'Q2_逐箱交付'!$A$1:$D$81</definedName>
    <definedName name="_xlnm._FilterDatabase" localSheetId="3" hidden="1">'核验_架次详情'!$A$1:$L$26</definedName>
    <definedName name="_xlnm.Print_Titles" localSheetId="3">'核验_架次详情'!$1:$1</definedName>
    <definedName name="_xlnm.Print_Area" localSheetId="3">'核验_架次详情'!$A$1:$L$26</definedName>
    <definedName name="_xlnm._FilterDatabase" localSheetId="4" hidden="1">'核验_逐箱'!$A$1:$P$81</definedName>
    <definedName name="_xlnm.Print_Titles" localSheetId="4">'核验_逐箱'!$1:$1</definedName>
    <definedName name="_xlnm.Print_Area" localSheetId="4">'核验_逐箱'!$A$1:$P$81</definedName>
    <definedName name="_xlnm._FilterDatabase" localSheetId="5" hidden="1">'核验_资源事件'!$A$1:$G$76</definedName>
    <definedName name="_xlnm.Print_Titles" localSheetId="5">'核验_资源事件'!$1:$1</definedName>
    <definedName name="_xlnm.Print_Area" localSheetId="5">'核验_资源事件'!$A$1:$G$76</definedName>
    <definedName name="_xlnm._FilterDatabase" localSheetId="6" hidden="1">'核验_资源汇总'!$A$1:$I$23</definedName>
    <definedName name="_xlnm.Print_Titles" localSheetId="6">'核验_资源汇总'!$1:$1</definedName>
    <definedName name="_xlnm.Print_Area" localSheetId="6">'核验_资源汇总'!$A$1:$I$23</definedName>
    <definedName name="_xlnm._FilterDatabase" localSheetId="7" hidden="1">'联合非支配档案'!$A$1:$J$12</definedName>
    <definedName name="_xlnm.Print_Titles" localSheetId="7">'联合非支配档案'!$1:$1</definedName>
    <definedName name="_xlnm.Print_Area" localSheetId="7">'联合非支配档案'!$A$1:$J$12</definedName>
    <definedName name="_xlnm.Print_Titles" localSheetId="8">'求解说明'!$1:$1</definedName>
    <definedName name="_xlnm.Print_Area" localSheetId="8">'求解说明'!$A$1:$B$30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name val="微软雅黑"/>
      <color rgb="00172C39"/>
      <sz val="10"/>
    </font>
    <font>
      <name val="微软雅黑"/>
      <b val="1"/>
      <color rgb="00294B60"/>
      <sz val="12"/>
    </font>
  </fonts>
  <fills count="3">
    <fill>
      <patternFill/>
    </fill>
    <fill>
      <patternFill patternType="gray125"/>
    </fill>
    <fill>
      <patternFill patternType="solid">
        <fgColor rgb="00E6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5" fillId="33" borderId="0" applyAlignment="1" pivotButton="0" quotePrefix="0" xfId="49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1" fontId="2" fillId="2" borderId="0" applyAlignment="1" pivotButton="0" quotePrefix="0" xfId="0">
      <alignment horizontal="right" vertical="center" wrapText="1"/>
    </xf>
    <xf numFmtId="1" fontId="1" fillId="0" borderId="0" applyAlignment="1" pivotButton="0" quotePrefix="0" xfId="0">
      <alignment horizontal="right" vertical="center" wrapText="1"/>
    </xf>
    <xf numFmtId="164" fontId="2" fillId="2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5" fillId="33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E14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7" customWidth="1" min="1" max="1"/>
    <ns0:col width="24" customWidth="1" min="2" max="2"/>
    <ns0:col width="25" customWidth="1" min="3" max="3"/>
    <ns0:col width="20" customWidth="1" min="4" max="4"/>
    <ns0:col width="78" customWidth="1" min="5" max="5"/>
  </ns0:cols>
  <ns0:sheetData>
    <ns0:row r="1" ht="38" customHeight="1">
      <ns0:c r="A1" s="1" t="inlineStr">
        <ns0:is>
          <ns0:t>指标</ns0:t>
        </ns0:is>
      </ns0:c>
      <ns0:c r="B1" s="1" t="inlineStr">
        <ns0:is>
          <ns0:t>Excel公式结果</ns0:t>
        </ns0:is>
      </ns0:c>
      <ns0:c r="C1" s="1" t="inlineStr">
        <ns0:is>
          <ns0:t>JSON记录/独立复算</ns0:t>
        </ns0:is>
      </ns0:c>
      <ns0:c r="D1" s="1" t="inlineStr">
        <ns0:is>
          <ns0:t>差值</ns0:t>
        </ns0:is>
      </ns0:c>
      <ns0:c r="E1" s="1" t="inlineStr">
        <ns0:is>
          <ns0:t>口径</ns0:t>
        </ns0:is>
      </ns0:c>
    </ns0:row>
    <ns0:row r="2" ht="25" customHeight="1">
      <ns0:c r="A2" s="2" t="inlineStr">
        <ns0:is>
          <ns0:t>架次数N</ns0:t>
        </ns0:is>
      </ns0:c>
      <ns0:c r="B2" s="3" t="n">
        <ns0:f>COUNTA('Q2_运输架次'!A2:A26)</ns0:f>
        <ns0:v>25</ns0:v>
      </ns0:c>
      <ns0:c r="C2" s="4" t="n">
        <ns0:v>25</ns0:v>
      </ns0:c>
      <ns0:c r="D2" s="4" t="n">
        <ns0:f>B2-C2</ns0:f>
        <ns0:v>0</ns0:v>
      </ns0:c>
      <ns0:c r="E2" s="2" t="inlineStr">
        <ns0:is>
          <ns0:t>仅此最终方案的运输架次</ns0:t>
        </ns0:is>
      </ns0:c>
    </ns0:row>
    <ns0:row r="3" ht="25" customHeight="1">
      <ns0:c r="A3" s="2" t="inlineStr">
        <ns0:is>
          <ns0:t>运输总能耗 kWh</ns0:t>
        </ns0:is>
      </ns0:c>
      <ns0:c r="B3" s="5" t="n">
        <ns0:f>SUM('Q2_运输架次'!H2:H26)</ns0:f>
        <ns0:v>71.31909210428417</ns0:v>
      </ns0:c>
      <ns0:c r="C3" s="6" t="n">
        <ns0:v>71.31909210428417</ns0:v>
      </ns0:c>
      <ns0:c r="D3" s="6" t="n">
        <ns0:f>B3-C3</ns0:f>
        <ns0:v>0.0</ns0:v>
      </ns0:c>
      <ns0:c r="E3" s="2" t="inlineStr">
        <ns0:is>
          <ns0:t>统一题设与补充能耗假设；不解释为实飞测量</ns0:t>
        </ns0:is>
      </ns0:c>
    </ns0:row>
    <ns0:row r="4" ht="25" customHeight="1">
      <ns0:c r="A4" s="2" t="inlineStr">
        <ns0:is>
          <ns0:t>最晚返场 s</ns0:t>
        </ns0:is>
      </ns0:c>
      <ns0:c r="B4" s="5" t="n">
        <ns0:f>MAX('Q2_运输架次'!G2:G26)</ns0:f>
        <ns0:v>6672.014331816174</ns0:v>
      </ns0:c>
      <ns0:c r="C4" s="6" t="n">
        <ns0:v>6672.014331816174</ns0:v>
      </ns0:c>
      <ns0:c r="D4" s="6" t="n">
        <ns0:f>B4-C4</ns0:f>
        <ns0:v>0.0</ns0:v>
      </ns0:c>
      <ns0:c r="E4" s="2" t="inlineStr">
        <ns0:is>
          <ns0:t>全部运输机完成最后任务并返回O01；不含最终充电</ns0:t>
        </ns0:is>
      </ns0:c>
    </ns0:row>
    <ns0:row r="5" ht="25" customHeight="1">
      <ns0:c r="A5" s="2" t="inlineStr">
        <ns0:is>
          <ns0:t>加权平均迟到 s</ns0:t>
        </ns0:is>
      </ns0:c>
      <ns0:c r="B5" s="5" t="n">
        <ns0:f>SUM('核验_逐箱'!N2:N81)/SUM('核验_逐箱'!M2:M81)</ns0:f>
        <ns0:v>0.0</ns0:v>
      </ns0:c>
      <ns0:c r="C5" s="6" t="n">
        <ns0:v>0</ns0:v>
      </ns0:c>
      <ns0:c r="D5" s="6" t="n">
        <ns0:f>B5-C5</ns0:f>
        <ns0:v>0.0</ns0:v>
      </ns0:c>
      <ns0:c r="E5" s="2" t="inlineStr">
        <ns0:is>
          <ns0:t>仅无硬时限箱；分母为软箱应急优先系数和</ns0:t>
        </ns0:is>
      </ns0:c>
    </ns0:row>
    <ns0:row r="6" ht="25" customHeight="1">
      <ns0:c r="A6" s="2" t="inlineStr">
        <ns0:is>
          <ns0:t>交付货箱数</ns0:t>
        </ns0:is>
      </ns0:c>
      <ns0:c r="B6" s="4" t="n">
        <ns0:f>COUNTA('Q2_逐箱交付'!A2:A81)</ns0:f>
        <ns0:v>80</ns0:v>
      </ns0:c>
      <ns0:c r="C6" s="4" t="n">
        <ns0:v>80</ns0:v>
      </ns0:c>
      <ns0:c r="D6" s="4" t="n">
        <ns0:f>B6-C6</ns0:f>
        <ns0:v>0</ns0:v>
      </ns0:c>
      <ns0:c r="E6" s="2" t="inlineStr">
        <ns0:is>
          <ns0:t>货箱编号唯一性另由导出检查确认</ns0:t>
        </ns0:is>
      </ns0:c>
    </ns0:row>
    <ns0:row r="7" ht="25" customHeight="1">
      <ns0:c r="A7" s="2" t="inlineStr">
        <ns0:is>
          <ns0:t>硬时限箱数</ns0:t>
        </ns0:is>
      </ns0:c>
      <ns0:c r="B7" s="4" t="n">
        <ns0:f>IF('核验_逐箱'!G2,1,0)+IF('核验_逐箱'!G3,1,0)+IF('核验_逐箱'!G4,1,0)+IF('核验_逐箱'!G5,1,0)+IF('核验_逐箱'!G6,1,0)+IF('核验_逐箱'!G7,1,0)+IF('核验_逐箱'!G8,1,0)+IF('核验_逐箱'!G9,1,0)+IF('核验_逐箱'!G10,1,0)+IF('核验_逐箱'!G11,1,0)+IF('核验_逐箱'!G12,1,0)+IF('核验_逐箱'!G13,1,0)+IF('核验_逐箱'!G14,1,0)+IF('核验_逐箱'!G15,1,0)+IF('核验_逐箱'!G16,1,0)+IF('核验_逐箱'!G17,1,0)+IF('核验_逐箱'!G18,1,0)+IF('核验_逐箱'!G19,1,0)+IF('核验_逐箱'!G20,1,0)+IF('核验_逐箱'!G21,1,0)+IF('核验_逐箱'!G22,1,0)+IF('核验_逐箱'!G23,1,0)+IF('核验_逐箱'!G24,1,0)+IF('核验_逐箱'!G25,1,0)+IF('核验_逐箱'!G26,1,0)+IF('核验_逐箱'!G27,1,0)+IF('核验_逐箱'!G28,1,0)+IF('核验_逐箱'!G29,1,0)+IF('核验_逐箱'!G30,1,0)+IF('核验_逐箱'!G31,1,0)+IF('核验_逐箱'!G32,1,0)+IF('核验_逐箱'!G33,1,0)+IF('核验_逐箱'!G34,1,0)+IF('核验_逐箱'!G35,1,0)+IF('核验_逐箱'!G36,1,0)+IF('核验_逐箱'!G37,1,0)+IF('核验_逐箱'!G38,1,0)+IF('核验_逐箱'!G39,1,0)+IF('核验_逐箱'!G40,1,0)+IF('核验_逐箱'!G41,1,0)+IF('核验_逐箱'!G42,1,0)+IF('核验_逐箱'!G43,1,0)+IF('核验_逐箱'!G44,1,0)+IF('核验_逐箱'!G45,1,0)+IF('核验_逐箱'!G46,1,0)+IF('核验_逐箱'!G47,1,0)+IF('核验_逐箱'!G48,1,0)+IF('核验_逐箱'!G49,1,0)+IF('核验_逐箱'!G50,1,0)+IF('核验_逐箱'!G51,1,0)+IF('核验_逐箱'!G52,1,0)+IF('核验_逐箱'!G53,1,0)+IF('核验_逐箱'!G54,1,0)+IF('核验_逐箱'!G55,1,0)+IF('核验_逐箱'!G56,1,0)+IF('核验_逐箱'!G57,1,0)+IF('核验_逐箱'!G58,1,0)+IF('核验_逐箱'!G59,1,0)+IF('核验_逐箱'!G60,1,0)+IF('核验_逐箱'!G61,1,0)+IF('核验_逐箱'!G62,1,0)+IF('核验_逐箱'!G63,1,0)+IF('核验_逐箱'!G64,1,0)+IF('核验_逐箱'!G65,1,0)+IF('核验_逐箱'!G66,1,0)+IF('核验_逐箱'!G67,1,0)+IF('核验_逐箱'!G68,1,0)+IF('核验_逐箱'!G69,1,0)+IF('核验_逐箱'!G70,1,0)+IF('核验_逐箱'!G71,1,0)+IF('核验_逐箱'!G72,1,0)+IF('核验_逐箱'!G73,1,0)+IF('核验_逐箱'!G74,1,0)+IF('核验_逐箱'!G75,1,0)+IF('核验_逐箱'!G76,1,0)+IF('核验_逐箱'!G77,1,0)+IF('核验_逐箱'!G78,1,0)+IF('核验_逐箱'!G79,1,0)+IF('核验_逐箱'!G80,1,0)+IF('核验_逐箱'!G81,1,0)</ns0:f>
        <ns0:v>31.0</ns0:v>
      </ns0:c>
      <ns0:c r="C7" s="4" t="n">
        <ns0:v>31</ns0:v>
      </ns0:c>
      <ns0:c r="D7" s="4" t="n">
        <ns0:f>B7-C7</ns0:f>
        <ns0:v>0.0</ns0:v>
      </ns0:c>
      <ns0:c r="E7" s="2" t="inlineStr">
        <ns0:is>
          <ns0:t>医疗或首批的并集</ns0:t>
        </ns0:is>
      </ns0:c>
    </ns0:row>
    <ns0:row r="8" ht="25" customHeight="1">
      <ns0:c r="A8" s="2" t="inlineStr">
        <ns0:is>
          <ns0:t>软时限箱数</ns0:t>
        </ns0:is>
      </ns0:c>
      <ns0:c r="B8" s="4" t="n">
        <ns0:f>B6-B7</ns0:f>
        <ns0:v>49.0</ns0:v>
      </ns0:c>
      <ns0:c r="C8" s="4" t="n">
        <ns0:v>49</ns0:v>
      </ns0:c>
      <ns0:c r="D8" s="4" t="n">
        <ns0:f>B8-C8</ns0:f>
        <ns0:v>0.0</ns0:v>
      </ns0:c>
      <ns0:c r="E8" s="2" t="inlineStr">
        <ns0:is>
          <ns0:t>无硬时限箱</ns0:t>
        </ns0:is>
      </ns0:c>
    </ns0:row>
    <ns0:row r="9" ht="25" customHeight="1">
      <ns0:c r="A9" s="2" t="inlineStr">
        <ns0:is>
          <ns0:t>软箱优先系数和</ns0:t>
        </ns0:is>
      </ns0:c>
      <ns0:c r="B9" s="4" t="n">
        <ns0:f>SUM('核验_逐箱'!M2:M81)</ns0:f>
        <ns0:v>460.0</ns0:v>
      </ns0:c>
      <ns0:c r="C9" s="4" t="n">
        <ns0:v>460</ns0:v>
      </ns0:c>
      <ns0:c r="D9" s="4" t="n">
        <ns0:f>B9-C9</ns0:f>
        <ns0:v>0.0</ns0:v>
      </ns0:c>
      <ns0:c r="E9" s="2" t="inlineStr">
        <ns0:is>
          <ns0:t>当前加权迟到分母</ns0:t>
        </ns0:is>
      </ns0:c>
    </ns0:row>
    <ns0:row r="10" ht="25" customHeight="1">
      <ns0:c r="A10" s="2" t="inlineStr">
        <ns0:is>
          <ns0:t>非医疗优先系数和</ns0:t>
        </ns0:is>
      </ns0:c>
      <ns0:c r="B10" s="4" t="n">
        <ns0:f>SUM('核验_逐箱'!O2:O81)</ns0:f>
        <ns0:v>618.0</ns0:v>
      </ns0:c>
      <ns0:c r="C10" s="4" t="n">
        <ns0:v>618</ns0:v>
      </ns0:c>
      <ns0:c r="D10" s="4" t="n">
        <ns0:f>B10-C10</ns0:f>
        <ns0:v>0.0</ns0:v>
      </ns0:c>
      <ns0:c r="E10" s="2" t="inlineStr">
        <ns0:is>
          <ns0:t>用于辨认64非医疗箱与49软箱两种口径</ns0:t>
        </ns0:is>
      </ns0:c>
    </ns0:row>
    <ns0:row r="11" ht="25" customHeight="1">
      <ns0:c r="A11" s="2" t="inlineStr">
        <ns0:is>
          <ns0:t>档案方案数</ns0:t>
        </ns0:is>
      </ns0:c>
      <ns0:c r="B11" s="4" t="n">
        <ns0:v>11</ns0:v>
      </ns0:c>
      <ns0:c r="C11" s="4" t="n">
        <ns0:v>11</ns0:v>
      </ns0:c>
      <ns0:c r="D11" s="4" t="n">
        <ns0:f>B11-C11</ns0:f>
        <ns0:v>0</ns0:v>
      </ns0:c>
      <ns0:c r="E11" s="2" t="inlineStr">
        <ns0:is>
          <ns0:t>独立档案页；不混入提交架次表</ns0:t>
        </ns0:is>
      </ns0:c>
    </ns0:row>
    <ns0:row r="12" ht="25" customHeight="1">
      <ns0:c r="A12" s="2" t="inlineStr">
        <ns0:is>
          <ns0:t>最终档案编号</ns0:t>
        </ns0:is>
      </ns0:c>
      <ns0:c r="B12" s="2" t="inlineStr">
        <ns0:is>
          <ns0:t>PF0001</ns0:t>
        </ns0:is>
      </ns0:c>
      <ns0:c r="C12" s="7" t="n"/>
      <ns0:c r="D12" s="7" t="n"/>
      <ns0:c r="E12" s="2" t="inlineStr">
        <ns0:is>
          <ns0:t>按完整架次、资源与开始时刻匹配</ns0:t>
        </ns0:is>
      </ns0:c>
    </ns0:row>
    <ns0:row r="13" ht="25" customHeight="1">
      <ns0:c r="A13" s="2" t="inlineStr">
        <ns0:is>
          <ns0:t>遗憾下界</ns0:t>
        </ns0:is>
      </ns0:c>
      <ns0:c r="B13" s="6" t="n">
        <ns0:v>0.05859641572496166</ns0:v>
      </ns0:c>
      <ns0:c r="C13" s="7" t="n"/>
      <ns0:c r="D13" s="7" t="n"/>
      <ns0:c r="E13" s="2" t="inlineStr">
        <ns0:is>
          <ns0:t>原JSON记录；范围见求解说明</ns0:t>
        </ns0:is>
      </ns0:c>
    </ns0:row>
    <ns0:row r="14" ht="25" customHeight="1">
      <ns0:c r="A14" s="2" t="inlineStr">
        <ns0:is>
          <ns0:t>遗憾上界</ns0:t>
        </ns0:is>
      </ns0:c>
      <ns0:c r="B14" s="6" t="n">
        <ns0:v>0.3959623629643847</ns0:v>
      </ns0:c>
      <ns0:c r="C14" s="7" t="n"/>
      <ns0:c r="D14" s="7" t="n"/>
      <ns0:c r="E14" s="2" t="inlineStr">
        <ns0:is>
          <ns0:t>原JSON记录；不代表原题全局稳健最优认证</ns0:t>
        </ns0:is>
      </ns0:c>
    </ns0:row>
  </ns0:sheetData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H26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16" customWidth="1" min="2" max="2"/>
    <ns0:col width="16" customWidth="1" min="3" max="3"/>
    <ns0:col width="18" customWidth="1" min="4" max="4"/>
    <ns0:col width="21" customWidth="1" min="5" max="5"/>
    <ns0:col width="54" customWidth="1" min="6" max="6"/>
    <ns0:col width="23" customWidth="1" min="7" max="7"/>
    <ns0:col width="22" customWidth="1" min="8" max="8"/>
  </ns0:cols>
  <ns0:sheetData>
    <ns0:row r="1" ht="38" customHeight="1">
      <ns0:c r="A1" s="1" t="inlineStr">
        <ns0:is>
          <ns0:t>架次编号</ns0:t>
        </ns0:is>
      </ns0:c>
      <ns0:c r="B1" s="1" t="inlineStr">
        <ns0:is>
          <ns0:t>无人机编号</ns0:t>
        </ns0:is>
      </ns0:c>
      <ns0:c r="C1" s="1" t="inlineStr">
        <ns0:is>
          <ns0:t>机型编号</ns0:t>
        </ns0:is>
      </ns0:c>
      <ns0:c r="D1" s="1" t="inlineStr">
        <ns0:is>
          <ns0:t>电池编号</ns0:t>
        </ns0:is>
      </ns0:c>
      <ns0:c r="E1" s="1" t="inlineStr">
        <ns0:is>
          <ns0:t>开始时刻（s）</ns0:t>
        </ns0:is>
      </ns0:c>
      <ns0:c r="F1" s="1" t="inlineStr">
        <ns0:is>
          <ns0:t>访问服务区顺序</ns0:t>
        </ns0:is>
      </ns0:c>
      <ns0:c r="G1" s="1" t="inlineStr">
        <ns0:is>
          <ns0:t>返回O01时刻（s）</ns0:t>
        </ns0:is>
      </ns0:c>
      <ns0:c r="H1" s="1" t="inlineStr">
        <ns0:is>
          <ns0:t>架次能耗（kWh）</ns0:t>
        </ns0:is>
      </ns0:c>
    </ns0:row>
    <ns0:row r="2" ht="25" customHeight="1">
      <ns0:c r="A2" s="2" t="inlineStr">
        <ns0:is>
          <ns0:t>Q2-0001</ns0:t>
        </ns0:is>
      </ns0:c>
      <ns0:c r="B2" s="2" t="inlineStr">
        <ns0:is>
          <ns0:t>U02</ns0:t>
        </ns0:is>
      </ns0:c>
      <ns0:c r="C2" s="2" t="inlineStr">
        <ns0:is>
          <ns0:t>A</ns0:t>
        </ns0:is>
      </ns0:c>
      <ns0:c r="D2" s="2" t="inlineStr">
        <ns0:is>
          <ns0:t>A-BAT-04</ns0:t>
        </ns0:is>
      </ns0:c>
      <ns0:c r="E2" s="6" t="n">
        <ns0:v>0</ns0:v>
      </ns0:c>
      <ns0:c r="F2" s="2" t="inlineStr">
        <ns0:is>
          <ns0:t>O01→S009→S002→O01</ns0:t>
        </ns0:is>
      </ns0:c>
      <ns0:c r="G2" s="6" t="n">
        <ns0:v>2215.8496081971</ns0:v>
      </ns0:c>
      <ns0:c r="H2" s="6" t="n">
        <ns0:v>3.015518285651333</ns0:v>
      </ns0:c>
    </ns0:row>
    <ns0:row r="3" ht="25" customHeight="1">
      <ns0:c r="A3" s="2" t="inlineStr">
        <ns0:is>
          <ns0:t>Q2-0002</ns0:t>
        </ns0:is>
      </ns0:c>
      <ns0:c r="B3" s="2" t="inlineStr">
        <ns0:is>
          <ns0:t>U01</ns0:t>
        </ns0:is>
      </ns0:c>
      <ns0:c r="C3" s="2" t="inlineStr">
        <ns0:is>
          <ns0:t>A</ns0:t>
        </ns0:is>
      </ns0:c>
      <ns0:c r="D3" s="2" t="inlineStr">
        <ns0:is>
          <ns0:t>A-BAT-03</ns0:t>
        </ns0:is>
      </ns0:c>
      <ns0:c r="E3" s="6" t="n">
        <ns0:v>0</ns0:v>
      </ns0:c>
      <ns0:c r="F3" s="2" t="inlineStr">
        <ns0:is>
          <ns0:t>O01→S001→O01</ns0:t>
        </ns0:is>
      </ns0:c>
      <ns0:c r="G3" s="6" t="n">
        <ns0:v>1250.906962743382</ns0:v>
      </ns0:c>
      <ns0:c r="H3" s="6" t="n">
        <ns0:v>1.282363756982073</ns0:v>
      </ns0:c>
    </ns0:row>
    <ns0:row r="4" ht="25" customHeight="1">
      <ns0:c r="A4" s="2" t="inlineStr">
        <ns0:is>
          <ns0:t>Q2-0003</ns0:t>
        </ns0:is>
      </ns0:c>
      <ns0:c r="B4" s="2" t="inlineStr">
        <ns0:is>
          <ns0:t>U03</ns0:t>
        </ns0:is>
      </ns0:c>
      <ns0:c r="C4" s="2" t="inlineStr">
        <ns0:is>
          <ns0:t>A</ns0:t>
        </ns0:is>
      </ns0:c>
      <ns0:c r="D4" s="2" t="inlineStr">
        <ns0:is>
          <ns0:t>A-BAT-05</ns0:t>
        </ns0:is>
      </ns0:c>
      <ns0:c r="E4" s="6" t="n">
        <ns0:v>0</ns0:v>
      </ns0:c>
      <ns0:c r="F4" s="2" t="inlineStr">
        <ns0:is>
          <ns0:t>O01→S006→O01</ns0:t>
        </ns0:is>
      </ns0:c>
      <ns0:c r="G4" s="6" t="n">
        <ns0:v>1313.476639779828</ns0:v>
      </ns0:c>
      <ns0:c r="H4" s="6" t="n">
        <ns0:v>1.311562736392673</ns0:v>
      </ns0:c>
    </ns0:row>
    <ns0:row r="5" ht="25" customHeight="1">
      <ns0:c r="A5" s="2" t="inlineStr">
        <ns0:is>
          <ns0:t>Q2-0004</ns0:t>
        </ns0:is>
      </ns0:c>
      <ns0:c r="B5" s="2" t="inlineStr">
        <ns0:is>
          <ns0:t>U06</ns0:t>
        </ns0:is>
      </ns0:c>
      <ns0:c r="C5" s="2" t="inlineStr">
        <ns0:is>
          <ns0:t>B</ns0:t>
        </ns0:is>
      </ns0:c>
      <ns0:c r="D5" s="2" t="inlineStr">
        <ns0:is>
          <ns0:t>B-BAT-01</ns0:t>
        </ns0:is>
      </ns0:c>
      <ns0:c r="E5" s="6" t="n">
        <ns0:v>0</ns0:v>
      </ns0:c>
      <ns0:c r="F5" s="2" t="inlineStr">
        <ns0:is>
          <ns0:t>O01→S015→O01</ns0:t>
        </ns0:is>
      </ns0:c>
      <ns0:c r="G5" s="6" t="n">
        <ns0:v>1828.32756017366</ns0:v>
      </ns0:c>
      <ns0:c r="H5" s="6" t="n">
        <ns0:v>2.307588337094472</ns0:v>
      </ns0:c>
    </ns0:row>
    <ns0:row r="6" ht="25" customHeight="1">
      <ns0:c r="A6" s="2" t="inlineStr">
        <ns0:is>
          <ns0:t>Q2-0005</ns0:t>
        </ns0:is>
      </ns0:c>
      <ns0:c r="B6" s="2" t="inlineStr">
        <ns0:is>
          <ns0:t>U05</ns0:t>
        </ns0:is>
      </ns0:c>
      <ns0:c r="C6" s="2" t="inlineStr">
        <ns0:is>
          <ns0:t>B</ns0:t>
        </ns0:is>
      </ns0:c>
      <ns0:c r="D6" s="2" t="inlineStr">
        <ns0:is>
          <ns0:t>B-BAT-03</ns0:t>
        </ns0:is>
      </ns0:c>
      <ns0:c r="E6" s="6" t="n">
        <ns0:v>0</ns0:v>
      </ns0:c>
      <ns0:c r="F6" s="2" t="inlineStr">
        <ns0:is>
          <ns0:t>O01→S006→O01</ns0:t>
        </ns0:is>
      </ns0:c>
      <ns0:c r="G6" s="6" t="n">
        <ns0:v>1147.270011368133</ns0:v>
      </ns0:c>
      <ns0:c r="H6" s="6" t="n">
        <ns0:v>1.066270763651581</ns0:v>
      </ns0:c>
    </ns0:row>
    <ns0:row r="7" ht="25" customHeight="1">
      <ns0:c r="A7" s="2" t="inlineStr">
        <ns0:is>
          <ns0:t>Q2-0006</ns0:t>
        </ns0:is>
      </ns0:c>
      <ns0:c r="B7" s="2" t="inlineStr">
        <ns0:is>
          <ns0:t>U08</ns0:t>
        </ns0:is>
      </ns0:c>
      <ns0:c r="C7" s="2" t="inlineStr">
        <ns0:is>
          <ns0:t>C</ns0:t>
        </ns0:is>
      </ns0:c>
      <ns0:c r="D7" s="2" t="inlineStr">
        <ns0:is>
          <ns0:t>C-BAT-01</ns0:t>
        </ns0:is>
      </ns0:c>
      <ns0:c r="E7" s="6" t="n">
        <ns0:v>0</ns0:v>
      </ns0:c>
      <ns0:c r="F7" s="2" t="inlineStr">
        <ns0:is>
          <ns0:t>O01→S001→S007→O01</ns0:t>
        </ns0:is>
      </ns0:c>
      <ns0:c r="G7" s="6" t="n">
        <ns0:v>2481.437751143932</ns0:v>
      </ns0:c>
      <ns0:c r="H7" s="6" t="n">
        <ns0:v>5.464816732975152</ns0:v>
      </ns0:c>
    </ns0:row>
    <ns0:row r="8" ht="25" customHeight="1">
      <ns0:c r="A8" s="2" t="inlineStr">
        <ns0:is>
          <ns0:t>Q2-0007</ns0:t>
        </ns0:is>
      </ns0:c>
      <ns0:c r="B8" s="2" t="inlineStr">
        <ns0:is>
          <ns0:t>U04</ns0:t>
        </ns0:is>
      </ns0:c>
      <ns0:c r="C8" s="2" t="inlineStr">
        <ns0:is>
          <ns0:t>A</ns0:t>
        </ns0:is>
      </ns0:c>
      <ns0:c r="D8" s="2" t="inlineStr">
        <ns0:is>
          <ns0:t>A-BAT-01</ns0:t>
        </ns0:is>
      </ns0:c>
      <ns0:c r="E8" s="6" t="n">
        <ns0:v>0</ns0:v>
      </ns0:c>
      <ns0:c r="F8" s="2" t="inlineStr">
        <ns0:is>
          <ns0:t>O01→S001→S013→O01</ns0:t>
        </ns0:is>
      </ns0:c>
      <ns0:c r="G8" s="6" t="n">
        <ns0:v>1904.187020965994</ns0:v>
      </ns0:c>
      <ns0:c r="H8" s="6" t="n">
        <ns0:v>2.193401910097434</ns0:v>
      </ns0:c>
    </ns0:row>
    <ns0:row r="9" ht="25" customHeight="1">
      <ns0:c r="A9" s="2" t="inlineStr">
        <ns0:is>
          <ns0:t>Q2-0008</ns0:t>
        </ns0:is>
      </ns0:c>
      <ns0:c r="B9" s="2" t="inlineStr">
        <ns0:is>
          <ns0:t>U07</ns0:t>
        </ns0:is>
      </ns0:c>
      <ns0:c r="C9" s="2" t="inlineStr">
        <ns0:is>
          <ns0:t>C</ns0:t>
        </ns0:is>
      </ns0:c>
      <ns0:c r="D9" s="2" t="inlineStr">
        <ns0:is>
          <ns0:t>C-BAT-03</ns0:t>
        </ns0:is>
      </ns0:c>
      <ns0:c r="E9" s="6" t="n">
        <ns0:v>0</ns0:v>
      </ns0:c>
      <ns0:c r="F9" s="2" t="inlineStr">
        <ns0:is>
          <ns0:t>O01→S001→O01</ns0:t>
        </ns0:is>
      </ns0:c>
      <ns0:c r="G9" s="6" t="n">
        <ns0:v>1692.175045862023</ns0:v>
      </ns0:c>
      <ns0:c r="H9" s="6" t="n">
        <ns0:v>2.917623550511458</ns0:v>
      </ns0:c>
    </ns0:row>
    <ns0:row r="10" ht="25" customHeight="1">
      <ns0:c r="A10" s="2" t="inlineStr">
        <ns0:is>
          <ns0:t>Q2-0009</ns0:t>
        </ns0:is>
      </ns0:c>
      <ns0:c r="B10" s="2" t="inlineStr">
        <ns0:is>
          <ns0:t>U05</ns0:t>
        </ns0:is>
      </ns0:c>
      <ns0:c r="C10" s="2" t="inlineStr">
        <ns0:is>
          <ns0:t>B</ns0:t>
        </ns0:is>
      </ns0:c>
      <ns0:c r="D10" s="2" t="inlineStr">
        <ns0:is>
          <ns0:t>B-BAT-04</ns0:t>
        </ns0:is>
      </ns0:c>
      <ns0:c r="E10" s="6" t="n">
        <ns0:v>1147.270011368133</ns0:v>
      </ns0:c>
      <ns0:c r="F10" s="2" t="inlineStr">
        <ns0:is>
          <ns0:t>O01→S010→O01</ns0:t>
        </ns0:is>
      </ns0:c>
      <ns0:c r="G10" s="6" t="n">
        <ns0:v>2702.67353114835</ns0:v>
      </ns0:c>
      <ns0:c r="H10" s="6" t="n">
        <ns0:v>1.823259443020432</ns0:v>
      </ns0:c>
    </ns0:row>
    <ns0:row r="11" ht="25" customHeight="1">
      <ns0:c r="A11" s="2" t="inlineStr">
        <ns0:is>
          <ns0:t>Q2-0010</ns0:t>
        </ns0:is>
      </ns0:c>
      <ns0:c r="B11" s="2" t="inlineStr">
        <ns0:is>
          <ns0:t>U01</ns0:t>
        </ns0:is>
      </ns0:c>
      <ns0:c r="C11" s="2" t="inlineStr">
        <ns0:is>
          <ns0:t>A</ns0:t>
        </ns0:is>
      </ns0:c>
      <ns0:c r="D11" s="2" t="inlineStr">
        <ns0:is>
          <ns0:t>A-BAT-02</ns0:t>
        </ns0:is>
      </ns0:c>
      <ns0:c r="E11" s="6" t="n">
        <ns0:v>1250.906962743382</ns0:v>
      </ns0:c>
      <ns0:c r="F11" s="2" t="inlineStr">
        <ns0:is>
          <ns0:t>O01→S014→O01</ns0:t>
        </ns0:is>
      </ns0:c>
      <ns0:c r="G11" s="6" t="n">
        <ns0:v>3241.305848020131</ns0:v>
      </ns0:c>
      <ns0:c r="H11" s="6" t="n">
        <ns0:v>2.369426112953675</ns0:v>
      </ns0:c>
    </ns0:row>
    <ns0:row r="12" ht="25" customHeight="1">
      <ns0:c r="A12" s="2" t="inlineStr">
        <ns0:is>
          <ns0:t>Q2-0011</ns0:t>
        </ns0:is>
      </ns0:c>
      <ns0:c r="B12" s="2" t="inlineStr">
        <ns0:is>
          <ns0:t>U03</ns0:t>
        </ns0:is>
      </ns0:c>
      <ns0:c r="C12" s="2" t="inlineStr">
        <ns0:is>
          <ns0:t>A</ns0:t>
        </ns0:is>
      </ns0:c>
      <ns0:c r="D12" s="2" t="inlineStr">
        <ns0:is>
          <ns0:t>A-BAT-06</ns0:t>
        </ns0:is>
      </ns0:c>
      <ns0:c r="E12" s="6" t="n">
        <ns0:v>1313.476639779828</ns0:v>
      </ns0:c>
      <ns0:c r="F12" s="2" t="inlineStr">
        <ns0:is>
          <ns0:t>O01→S001→S014→O01</ns0:t>
        </ns0:is>
      </ns0:c>
      <ns0:c r="G12" s="6" t="n">
        <ns0:v>3761.039292990106</ns0:v>
      </ns0:c>
      <ns0:c r="H12" s="6" t="n">
        <ns0:v>2.764530119657842</ns0:v>
      </ns0:c>
    </ns0:row>
    <ns0:row r="13" ht="25" customHeight="1">
      <ns0:c r="A13" s="2" t="inlineStr">
        <ns0:is>
          <ns0:t>Q2-0012</ns0:t>
        </ns0:is>
      </ns0:c>
      <ns0:c r="B13" s="2" t="inlineStr">
        <ns0:is>
          <ns0:t>U07</ns0:t>
        </ns0:is>
      </ns0:c>
      <ns0:c r="C13" s="2" t="inlineStr">
        <ns0:is>
          <ns0:t>C</ns0:t>
        </ns0:is>
      </ns0:c>
      <ns0:c r="D13" s="2" t="inlineStr">
        <ns0:is>
          <ns0:t>C-BAT-04</ns0:t>
        </ns0:is>
      </ns0:c>
      <ns0:c r="E13" s="6" t="n">
        <ns0:v>1692.175045862023</ns0:v>
      </ns0:c>
      <ns0:c r="F13" s="2" t="inlineStr">
        <ns0:is>
          <ns0:t>O01→S002→O01</ns0:t>
        </ns0:is>
      </ns0:c>
      <ns0:c r="G13" s="6" t="n">
        <ns0:v>3866.017211886578</ns0:v>
      </ns0:c>
      <ns0:c r="H13" s="6" t="n">
        <ns0:v>6.281010408025065</ns0:v>
      </ns0:c>
    </ns0:row>
    <ns0:row r="14" ht="25" customHeight="1">
      <ns0:c r="A14" s="2" t="inlineStr">
        <ns0:is>
          <ns0:t>Q2-0013</ns0:t>
        </ns0:is>
      </ns0:c>
      <ns0:c r="B14" s="2" t="inlineStr">
        <ns0:is>
          <ns0:t>U06</ns0:t>
        </ns0:is>
      </ns0:c>
      <ns0:c r="C14" s="2" t="inlineStr">
        <ns0:is>
          <ns0:t>B</ns0:t>
        </ns0:is>
      </ns0:c>
      <ns0:c r="D14" s="2" t="inlineStr">
        <ns0:is>
          <ns0:t>B-BAT-02</ns0:t>
        </ns0:is>
      </ns0:c>
      <ns0:c r="E14" s="6" t="n">
        <ns0:v>1828.32756017366</ns0:v>
      </ns0:c>
      <ns0:c r="F14" s="2" t="inlineStr">
        <ns0:is>
          <ns0:t>O01→S012→O01</ns0:t>
        </ns0:is>
      </ns0:c>
      <ns0:c r="G14" s="6" t="n">
        <ns0:v>3751.154374322847</ns0:v>
      </ns0:c>
      <ns0:c r="H14" s="6" t="n">
        <ns0:v>2.752644390455669</ns0:v>
      </ns0:c>
    </ns0:row>
    <ns0:row r="15" ht="25" customHeight="1">
      <ns0:c r="A15" s="2" t="inlineStr">
        <ns0:is>
          <ns0:t>Q2-0014</ns0:t>
        </ns0:is>
      </ns0:c>
      <ns0:c r="B15" s="2" t="inlineStr">
        <ns0:is>
          <ns0:t>U04</ns0:t>
        </ns0:is>
      </ns0:c>
      <ns0:c r="C15" s="2" t="inlineStr">
        <ns0:is>
          <ns0:t>A</ns0:t>
        </ns0:is>
      </ns0:c>
      <ns0:c r="D15" s="2" t="inlineStr">
        <ns0:is>
          <ns0:t>A-BAT-05</ns0:t>
        </ns0:is>
      </ns0:c>
      <ns0:c r="E15" s="6" t="n">
        <ns0:v>2192.372541404377</ns0:v>
      </ns0:c>
      <ns0:c r="F15" s="2" t="inlineStr">
        <ns0:is>
          <ns0:t>O01→S013→O01</ns0:t>
        </ns0:is>
      </ns0:c>
      <ns0:c r="G15" s="6" t="n">
        <ns0:v>3804.535358633862</ns0:v>
      </ns0:c>
      <ns0:c r="H15" s="6" t="n">
        <ns0:v>1.958065680185038</ns0:v>
      </ns0:c>
    </ns0:row>
    <ns0:row r="16" ht="25" customHeight="1">
      <ns0:c r="A16" s="2" t="inlineStr">
        <ns0:is>
          <ns0:t>Q2-0015</ns0:t>
        </ns0:is>
      </ns0:c>
      <ns0:c r="B16" s="2" t="inlineStr">
        <ns0:is>
          <ns0:t>U02</ns0:t>
        </ns0:is>
      </ns0:c>
      <ns0:c r="C16" s="2" t="inlineStr">
        <ns0:is>
          <ns0:t>A</ns0:t>
        </ns0:is>
      </ns0:c>
      <ns0:c r="D16" s="2" t="inlineStr">
        <ns0:is>
          <ns0:t>A-BAT-03</ns0:t>
        </ns0:is>
      </ns0:c>
      <ns0:c r="E16" s="6" t="n">
        <ns0:v>2215.8496081971</ns0:v>
      </ns0:c>
      <ns0:c r="F16" s="2" t="inlineStr">
        <ns0:is>
          <ns0:t>O01→S006→O01</ns0:t>
        </ns0:is>
      </ns0:c>
      <ns0:c r="G16" s="6" t="n">
        <ns0:v>3529.326247976927</ns0:v>
      </ns0:c>
      <ns0:c r="H16" s="6" t="n">
        <ns0:v>1.35704465787471</ns0:v>
      </ns0:c>
    </ns0:row>
    <ns0:row r="17" ht="25" customHeight="1">
      <ns0:c r="A17" s="2" t="inlineStr">
        <ns0:is>
          <ns0:t>Q2-0016</ns0:t>
        </ns0:is>
      </ns0:c>
      <ns0:c r="B17" s="2" t="inlineStr">
        <ns0:is>
          <ns0:t>U08</ns0:t>
        </ns0:is>
      </ns0:c>
      <ns0:c r="C17" s="2" t="inlineStr">
        <ns0:is>
          <ns0:t>C</ns0:t>
        </ns0:is>
      </ns0:c>
      <ns0:c r="D17" s="2" t="inlineStr">
        <ns0:is>
          <ns0:t>C-BAT-02</ns0:t>
        </ns0:is>
      </ns0:c>
      <ns0:c r="E17" s="6" t="n">
        <ns0:v>2481.437751143932</ns0:v>
      </ns0:c>
      <ns0:c r="F17" s="2" t="inlineStr">
        <ns0:is>
          <ns0:t>O01→S004→O01</ns0:t>
        </ns0:is>
      </ns0:c>
      <ns0:c r="G17" s="6" t="n">
        <ns0:v>4782.492469916378</ns0:v>
      </ns0:c>
      <ns0:c r="H17" s="6" t="n">
        <ns0:v>6.152920552274484</ns0:v>
      </ns0:c>
    </ns0:row>
    <ns0:row r="18" ht="25" customHeight="1">
      <ns0:c r="A18" s="2" t="inlineStr">
        <ns0:is>
          <ns0:t>Q2-0017</ns0:t>
        </ns0:is>
      </ns0:c>
      <ns0:c r="B18" s="2" t="inlineStr">
        <ns0:is>
          <ns0:t>U05</ns0:t>
        </ns0:is>
      </ns0:c>
      <ns0:c r="C18" s="2" t="inlineStr">
        <ns0:is>
          <ns0:t>B</ns0:t>
        </ns0:is>
      </ns0:c>
      <ns0:c r="D18" s="2" t="inlineStr">
        <ns0:is>
          <ns0:t>B-BAT-03</ns0:t>
        </ns0:is>
      </ns0:c>
      <ns0:c r="E18" s="6" t="n">
        <ns0:v>2702.67353114835</ns0:v>
      </ns0:c>
      <ns0:c r="F18" s="2" t="inlineStr">
        <ns0:is>
          <ns0:t>O01→S008→O01</ns0:t>
        </ns0:is>
      </ns0:c>
      <ns0:c r="G18" s="6" t="n">
        <ns0:v>4604.515278324053</ns0:v>
      </ns0:c>
      <ns0:c r="H18" s="6" t="n">
        <ns0:v>2.763466712906777</ns0:v>
      </ns0:c>
    </ns0:row>
    <ns0:row r="19" ht="25" customHeight="1">
      <ns0:c r="A19" s="2" t="inlineStr">
        <ns0:is>
          <ns0:t>Q2-0018</ns0:t>
        </ns0:is>
      </ns0:c>
      <ns0:c r="B19" s="2" t="inlineStr">
        <ns0:is>
          <ns0:t>U03</ns0:t>
        </ns0:is>
      </ns0:c>
      <ns0:c r="C19" s="2" t="inlineStr">
        <ns0:is>
          <ns0:t>A</ns0:t>
        </ns0:is>
      </ns0:c>
      <ns0:c r="D19" s="2" t="inlineStr">
        <ns0:is>
          <ns0:t>A-BAT-04</ns0:t>
        </ns0:is>
      </ns0:c>
      <ns0:c r="E19" s="6" t="n">
        <ns0:v>3761.039292990106</ns0:v>
      </ns0:c>
      <ns0:c r="F19" s="2" t="inlineStr">
        <ns0:is>
          <ns0:t>O01→S011→O01</ns0:t>
        </ns0:is>
      </ns0:c>
      <ns0:c r="G19" s="6" t="n">
        <ns0:v>4983.067602929689</ns0:v>
      </ns0:c>
      <ns0:c r="H19" s="6" t="n">
        <ns0:v>1.152029810088087</ns0:v>
      </ns0:c>
    </ns0:row>
    <ns0:row r="20" ht="25" customHeight="1">
      <ns0:c r="A20" s="2" t="inlineStr">
        <ns0:is>
          <ns0:t>Q2-0019</ns0:t>
        </ns0:is>
      </ns0:c>
      <ns0:c r="B20" s="2" t="inlineStr">
        <ns0:is>
          <ns0:t>U07</ns0:t>
        </ns0:is>
      </ns0:c>
      <ns0:c r="C20" s="2" t="inlineStr">
        <ns0:is>
          <ns0:t>C</ns0:t>
        </ns0:is>
      </ns0:c>
      <ns0:c r="D20" s="2" t="inlineStr">
        <ns0:is>
          <ns0:t>C-BAT-03</ns0:t>
        </ns0:is>
      </ns0:c>
      <ns0:c r="E20" s="6" t="n">
        <ns0:v>3866.017211886578</ns0:v>
      </ns0:c>
      <ns0:c r="F20" s="2" t="inlineStr">
        <ns0:is>
          <ns0:t>O01→S003→O01</ns0:t>
        </ns0:is>
      </ns0:c>
      <ns0:c r="G20" s="6" t="n">
        <ns0:v>6368.194922985838</ns0:v>
      </ns0:c>
      <ns0:c r="H20" s="6" t="n">
        <ns0:v>6.324596372619295</ns0:v>
      </ns0:c>
    </ns0:row>
    <ns0:row r="21" ht="25" customHeight="1">
      <ns0:c r="A21" s="2" t="inlineStr">
        <ns0:is>
          <ns0:t>Q2-0020</ns0:t>
        </ns0:is>
      </ns0:c>
      <ns0:c r="B21" s="2" t="inlineStr">
        <ns0:is>
          <ns0:t>U06</ns0:t>
        </ns0:is>
      </ns0:c>
      <ns0:c r="C21" s="2" t="inlineStr">
        <ns0:is>
          <ns0:t>B</ns0:t>
        </ns0:is>
      </ns0:c>
      <ns0:c r="D21" s="2" t="inlineStr">
        <ns0:is>
          <ns0:t>B-BAT-04</ns0:t>
        </ns0:is>
      </ns0:c>
      <ns0:c r="E21" s="6" t="n">
        <ns0:v>4159.419289790537</ns0:v>
      </ns0:c>
      <ns0:c r="F21" s="2" t="inlineStr">
        <ns0:is>
          <ns0:t>O01→S008→S011→O01</ns0:t>
        </ns0:is>
      </ns0:c>
      <ns0:c r="G21" s="6" t="n">
        <ns0:v>6365.406016846233</ns0:v>
      </ns0:c>
      <ns0:c r="H21" s="6" t="n">
        <ns0:v>2.819754194764805</ns0:v>
      </ns0:c>
    </ns0:row>
    <ns0:row r="22" ht="25" customHeight="1">
      <ns0:c r="A22" s="2" t="inlineStr">
        <ns0:is>
          <ns0:t>Q2-0021</ns0:t>
        </ns0:is>
      </ns0:c>
      <ns0:c r="B22" s="2" t="inlineStr">
        <ns0:is>
          <ns0:t>U02</ns0:t>
        </ns0:is>
      </ns0:c>
      <ns0:c r="C22" s="2" t="inlineStr">
        <ns0:is>
          <ns0:t>A</ns0:t>
        </ns0:is>
      </ns0:c>
      <ns0:c r="D22" s="2" t="inlineStr">
        <ns0:is>
          <ns0:t>A-BAT-03</ns0:t>
        </ns0:is>
      </ns0:c>
      <ns0:c r="E22" s="6" t="n">
        <ns0:v>4421.361371362955</ns0:v>
      </ns0:c>
      <ns0:c r="F22" s="2" t="inlineStr">
        <ns0:is>
          <ns0:t>O01→S003→O01</ns0:t>
        </ns0:is>
      </ns0:c>
      <ns0:c r="G22" s="6" t="n">
        <ns0:v>6624.098601993215</ns0:v>
      </ns0:c>
      <ns0:c r="H22" s="6" t="n">
        <ns0:v>2.931756318505111</ns0:v>
      </ns0:c>
    </ns0:row>
    <ns0:row r="23" ht="25" customHeight="1">
      <ns0:c r="A23" s="2" t="inlineStr">
        <ns0:is>
          <ns0:t>Q2-0022</ns0:t>
        </ns0:is>
      </ns0:c>
      <ns0:c r="B23" s="2" t="inlineStr">
        <ns0:is>
          <ns0:t>U05</ns0:t>
        </ns0:is>
      </ns0:c>
      <ns0:c r="C23" s="2" t="inlineStr">
        <ns0:is>
          <ns0:t>B</ns0:t>
        </ns0:is>
      </ns0:c>
      <ns0:c r="D23" s="2" t="inlineStr">
        <ns0:is>
          <ns0:t>B-BAT-01</ns0:t>
        </ns0:is>
      </ns0:c>
      <ns0:c r="E23" s="6" t="n">
        <ns0:v>4604.515278324053</ns0:v>
      </ns0:c>
      <ns0:c r="F23" s="2" t="inlineStr">
        <ns0:is>
          <ns0:t>O01→S008→O01</ns0:t>
        </ns0:is>
      </ns0:c>
      <ns0:c r="G23" s="6" t="n">
        <ns0:v>6446.357025499756</ns0:v>
      </ns0:c>
      <ns0:c r="H23" s="6" t="n">
        <ns0:v>2.58936985843806</ns0:v>
      </ns0:c>
    </ns0:row>
    <ns0:row r="24" ht="25" customHeight="1">
      <ns0:c r="A24" s="2" t="inlineStr">
        <ns0:is>
          <ns0:t>Q2-0023</ns0:t>
        </ns0:is>
      </ns0:c>
      <ns0:c r="B24" s="2" t="inlineStr">
        <ns0:is>
          <ns0:t>U08</ns0:t>
        </ns0:is>
      </ns0:c>
      <ns0:c r="C24" s="2" t="inlineStr">
        <ns0:is>
          <ns0:t>C</ns0:t>
        </ns0:is>
      </ns0:c>
      <ns0:c r="D24" s="2" t="inlineStr">
        <ns0:is>
          <ns0:t>C-BAT-01</ns0:t>
        </ns0:is>
      </ns0:c>
      <ns0:c r="E24" s="6" t="n">
        <ns0:v>4794.825616324702</ns0:v>
      </ns0:c>
      <ns0:c r="F24" s="2" t="inlineStr">
        <ns0:is>
          <ns0:t>O01→S005→O01</ns0:t>
        </ns0:is>
      </ns0:c>
      <ns0:c r="G24" s="6" t="n">
        <ns0:v>6672.014331816174</ns0:v>
      </ns0:c>
      <ns0:c r="H24" s="6" t="n">
        <ns0:v>4.222182349592158</ns0:v>
      </ns0:c>
    </ns0:row>
    <ns0:row r="25" ht="25" customHeight="1">
      <ns0:c r="A25" s="2" t="inlineStr">
        <ns0:is>
          <ns0:t>Q2-0024</ns0:t>
        </ns0:is>
      </ns0:c>
      <ns0:c r="B25" s="2" t="inlineStr">
        <ns0:is>
          <ns0:t>U04</ns0:t>
        </ns0:is>
      </ns0:c>
      <ns0:c r="C25" s="2" t="inlineStr">
        <ns0:is>
          <ns0:t>A</ns0:t>
        </ns0:is>
      </ns0:c>
      <ns0:c r="D25" s="2" t="inlineStr">
        <ns0:is>
          <ns0:t>A-BAT-05</ns0:t>
        </ns0:is>
      </ns0:c>
      <ns0:c r="E25" s="6" t="n">
        <ns0:v>4870.198777353984</ns0:v>
      </ns0:c>
      <ns0:c r="F25" s="2" t="inlineStr">
        <ns0:is>
          <ns0:t>O01→S009→O01</ns0:t>
        </ns0:is>
      </ns0:c>
      <ns0:c r="G25" s="6" t="n">
        <ns0:v>6558.838423242309</ns0:v>
      </ns0:c>
      <ns0:c r="H25" s="6" t="n">
        <ns0:v>2.254883557652164</ns0:v>
      </ns0:c>
    </ns0:row>
    <ns0:row r="26" ht="25" customHeight="1">
      <ns0:c r="A26" s="2" t="inlineStr">
        <ns0:is>
          <ns0:t>Q2-0025</ns0:t>
        </ns0:is>
      </ns0:c>
      <ns0:c r="B26" s="2" t="inlineStr">
        <ns0:is>
          <ns0:t>U03</ns0:t>
        </ns0:is>
      </ns0:c>
      <ns0:c r="C26" s="2" t="inlineStr">
        <ns0:is>
          <ns0:t>A</ns0:t>
        </ns0:is>
      </ns0:c>
      <ns0:c r="D26" s="2" t="inlineStr">
        <ns0:is>
          <ns0:t>A-BAT-06</ns0:t>
        </ns0:is>
      </ns0:c>
      <ns0:c r="E26" s="6" t="n">
        <ns0:v>5059.681327557928</ns0:v>
      </ns0:c>
      <ns0:c r="F26" s="2" t="inlineStr">
        <ns0:is>
          <ns0:t>O01→S006→O01</ns0:t>
        </ns0:is>
      </ns0:c>
      <ns0:c r="G26" s="6" t="n">
        <ns0:v>6313.157967337756</ns0:v>
      </ns0:c>
      <ns0:c r="H26" s="6" t="n">
        <ns0:v>1.243005491914622</ns0:v>
      </ns0:c>
    </ns0:row>
  </ns0:sheetData>
  <ns0:autoFilter ref="A1:H26"/>
  <ns0:pageMargins left="0.75" right="0.75" top="1" bottom="1" header="0.5" footer="0.5"/>
  <ns0:pageSetup orientation="landscape" paperSize="8" fitToHeight="0" fitToWidth="1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D81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8" customWidth="1" min="3" max="3"/>
    <ns0:col width="25" customWidth="1" min="4" max="4"/>
  </ns0:cols>
  <ns0:sheetData>
    <ns0:row r="1" ht="38" customHeight="1">
      <ns0:c r="A1" s="1" t="inlineStr">
        <ns0:is>
          <ns0:t>货箱编号</ns0:t>
        </ns0:is>
      </ns0:c>
      <ns0:c r="B1" s="1" t="inlineStr">
        <ns0:is>
          <ns0:t>架次编号</ns0:t>
        </ns0:is>
      </ns0:c>
      <ns0:c r="C1" s="1" t="inlineStr">
        <ns0:is>
          <ns0:t>服务区编号</ns0:t>
        </ns0:is>
      </ns0:c>
      <ns0:c r="D1" s="1" t="inlineStr">
        <ns0:is>
          <ns0:t>交付完成时刻（s）</ns0:t>
        </ns0:is>
      </ns0:c>
    </ns0:row>
    <ns0:row r="2" ht="25" customHeight="1">
      <ns0:c r="A2" s="2" t="inlineStr">
        <ns0:is>
          <ns0:t>S001-FOD-01</ns0:t>
        </ns0:is>
      </ns0:c>
      <ns0:c r="B2" s="2" t="inlineStr">
        <ns0:is>
          <ns0:t>Q2-0002</ns0:t>
        </ns0:is>
      </ns0:c>
      <ns0:c r="C2" s="2" t="inlineStr">
        <ns0:is>
          <ns0:t>S001</ns0:t>
        </ns0:is>
      </ns0:c>
      <ns0:c r="D2" s="6" t="n">
        <ns0:v>908.5768147050242</ns0:v>
      </ns0:c>
    </ns0:row>
    <ns0:row r="3" ht="25" customHeight="1">
      <ns0:c r="A3" s="2" t="inlineStr">
        <ns0:is>
          <ns0:t>S001-FOD-02</ns0:t>
        </ns0:is>
      </ns0:c>
      <ns0:c r="B3" s="2" t="inlineStr">
        <ns0:is>
          <ns0:t>Q2-0008</ns0:t>
        </ns0:is>
      </ns0:c>
      <ns0:c r="C3" s="2" t="inlineStr">
        <ns0:is>
          <ns0:t>S001</ns0:t>
        </ns0:is>
      </ns0:c>
      <ns0:c r="D3" s="6" t="n">
        <ns0:v>1380.272522931012</ns0:v>
      </ns0:c>
    </ns0:row>
    <ns0:row r="4" ht="25" customHeight="1">
      <ns0:c r="A4" s="2" t="inlineStr">
        <ns0:is>
          <ns0:t>S001-FOD-03</ns0:t>
        </ns0:is>
      </ns0:c>
      <ns0:c r="B4" s="2" t="inlineStr">
        <ns0:is>
          <ns0:t>Q2-0008</ns0:t>
        </ns0:is>
      </ns0:c>
      <ns0:c r="C4" s="2" t="inlineStr">
        <ns0:is>
          <ns0:t>S001</ns0:t>
        </ns0:is>
      </ns0:c>
      <ns0:c r="D4" s="6" t="n">
        <ns0:v>1380.272522931012</ns0:v>
      </ns0:c>
    </ns0:row>
    <ns0:row r="5" ht="25" customHeight="1">
      <ns0:c r="A5" s="2" t="inlineStr">
        <ns0:is>
          <ns0:t>S001-HYG-01</ns0:t>
        </ns0:is>
      </ns0:c>
      <ns0:c r="B5" s="2" t="inlineStr">
        <ns0:is>
          <ns0:t>Q2-0008</ns0:t>
        </ns0:is>
      </ns0:c>
      <ns0:c r="C5" s="2" t="inlineStr">
        <ns0:is>
          <ns0:t>S001</ns0:t>
        </ns0:is>
      </ns0:c>
      <ns0:c r="D5" s="6" t="n">
        <ns0:v>1380.272522931012</ns0:v>
      </ns0:c>
    </ns0:row>
    <ns0:row r="6" ht="25" customHeight="1">
      <ns0:c r="A6" s="2" t="inlineStr">
        <ns0:is>
          <ns0:t>S001-HYG-02</ns0:t>
        </ns0:is>
      </ns0:c>
      <ns0:c r="B6" s="2" t="inlineStr">
        <ns0:is>
          <ns0:t>Q2-0008</ns0:t>
        </ns0:is>
      </ns0:c>
      <ns0:c r="C6" s="2" t="inlineStr">
        <ns0:is>
          <ns0:t>S001</ns0:t>
        </ns0:is>
      </ns0:c>
      <ns0:c r="D6" s="6" t="n">
        <ns0:v>1380.272522931012</ns0:v>
      </ns0:c>
    </ns0:row>
    <ns0:row r="7" ht="25" customHeight="1">
      <ns0:c r="A7" s="2" t="inlineStr">
        <ns0:is>
          <ns0:t>S001-MED-01</ns0:t>
        </ns0:is>
      </ns0:c>
      <ns0:c r="B7" s="2" t="inlineStr">
        <ns0:is>
          <ns0:t>Q2-0008</ns0:t>
        </ns0:is>
      </ns0:c>
      <ns0:c r="C7" s="2" t="inlineStr">
        <ns0:is>
          <ns0:t>S001</ns0:t>
        </ns0:is>
      </ns0:c>
      <ns0:c r="D7" s="6" t="n">
        <ns0:v>1380.272522931012</ns0:v>
      </ns0:c>
    </ns0:row>
    <ns0:row r="8" ht="25" customHeight="1">
      <ns0:c r="A8" s="2" t="inlineStr">
        <ns0:is>
          <ns0:t>S001-MED-02</ns0:t>
        </ns0:is>
      </ns0:c>
      <ns0:c r="B8" s="2" t="inlineStr">
        <ns0:is>
          <ns0:t>Q2-0008</ns0:t>
        </ns0:is>
      </ns0:c>
      <ns0:c r="C8" s="2" t="inlineStr">
        <ns0:is>
          <ns0:t>S001</ns0:t>
        </ns0:is>
      </ns0:c>
      <ns0:c r="D8" s="6" t="n">
        <ns0:v>1380.272522931012</ns0:v>
      </ns0:c>
    </ns0:row>
    <ns0:row r="9" ht="25" customHeight="1">
      <ns0:c r="A9" s="2" t="inlineStr">
        <ns0:is>
          <ns0:t>S001-WAT-01</ns0:t>
        </ns0:is>
      </ns0:c>
      <ns0:c r="B9" s="2" t="inlineStr">
        <ns0:is>
          <ns0:t>Q2-0011</ns0:t>
        </ns0:is>
      </ns0:c>
      <ns0:c r="C9" s="2" t="inlineStr">
        <ns0:is>
          <ns0:t>S001</ns0:t>
        </ns0:is>
      </ns0:c>
      <ns0:c r="D9" s="6" t="n">
        <ns0:v>2192.053454484851</ns0:v>
      </ns0:c>
    </ns0:row>
    <ns0:row r="10" ht="25" customHeight="1">
      <ns0:c r="A10" s="2" t="inlineStr">
        <ns0:is>
          <ns0:t>S001-WAT-02</ns0:t>
        </ns0:is>
      </ns0:c>
      <ns0:c r="B10" s="2" t="inlineStr">
        <ns0:is>
          <ns0:t>Q2-0007</ns0:t>
        </ns0:is>
      </ns0:c>
      <ns0:c r="C10" s="2" t="inlineStr">
        <ns0:is>
          <ns0:t>S001</ns0:t>
        </ns0:is>
      </ns0:c>
      <ns0:c r="D10" s="6" t="n">
        <ns0:v>878.5768147050242</ns0:v>
      </ns0:c>
    </ns0:row>
    <ns0:row r="11" ht="25" customHeight="1">
      <ns0:c r="A11" s="2" t="inlineStr">
        <ns0:is>
          <ns0:t>S001-WAT-03</ns0:t>
        </ns0:is>
      </ns0:c>
      <ns0:c r="B11" s="2" t="inlineStr">
        <ns0:is>
          <ns0:t>Q2-0002</ns0:t>
        </ns0:is>
      </ns0:c>
      <ns0:c r="C11" s="2" t="inlineStr">
        <ns0:is>
          <ns0:t>S001</ns0:t>
        </ns0:is>
      </ns0:c>
      <ns0:c r="D11" s="6" t="n">
        <ns0:v>908.5768147050242</ns0:v>
      </ns0:c>
    </ns0:row>
    <ns0:row r="12" ht="25" customHeight="1">
      <ns0:c r="A12" s="2" t="inlineStr">
        <ns0:is>
          <ns0:t>S001-WAT-04</ns0:t>
        </ns0:is>
      </ns0:c>
      <ns0:c r="B12" s="2" t="inlineStr">
        <ns0:is>
          <ns0:t>Q2-0008</ns0:t>
        </ns0:is>
      </ns0:c>
      <ns0:c r="C12" s="2" t="inlineStr">
        <ns0:is>
          <ns0:t>S001</ns0:t>
        </ns0:is>
      </ns0:c>
      <ns0:c r="D12" s="6" t="n">
        <ns0:v>1380.272522931012</ns0:v>
      </ns0:c>
    </ns0:row>
    <ns0:row r="13" ht="25" customHeight="1">
      <ns0:c r="A13" s="2" t="inlineStr">
        <ns0:is>
          <ns0:t>S001-WAT-05</ns0:t>
        </ns0:is>
      </ns0:c>
      <ns0:c r="B13" s="2" t="inlineStr">
        <ns0:is>
          <ns0:t>Q2-0006</ns0:t>
        </ns0:is>
      </ns0:c>
      <ns0:c r="C13" s="2" t="inlineStr">
        <ns0:is>
          <ns0:t>S001</ns0:t>
        </ns0:is>
      </ns0:c>
      <ns0:c r="D13" s="6" t="n">
        <ns0:v>1068.272522931012</ns0:v>
      </ns0:c>
    </ns0:row>
    <ns0:row r="14" ht="25" customHeight="1">
      <ns0:c r="A14" s="2" t="inlineStr">
        <ns0:is>
          <ns0:t>S001-WAT-06</ns0:t>
        </ns0:is>
      </ns0:c>
      <ns0:c r="B14" s="2" t="inlineStr">
        <ns0:is>
          <ns0:t>Q2-0006</ns0:t>
        </ns0:is>
      </ns0:c>
      <ns0:c r="C14" s="2" t="inlineStr">
        <ns0:is>
          <ns0:t>S001</ns0:t>
        </ns0:is>
      </ns0:c>
      <ns0:c r="D14" s="6" t="n">
        <ns0:v>1068.272522931012</ns0:v>
      </ns0:c>
    </ns0:row>
    <ns0:row r="15" ht="25" customHeight="1">
      <ns0:c r="A15" s="2" t="inlineStr">
        <ns0:is>
          <ns0:t>S001-WAT-07</ns0:t>
        </ns0:is>
      </ns0:c>
      <ns0:c r="B15" s="2" t="inlineStr">
        <ns0:is>
          <ns0:t>Q2-0008</ns0:t>
        </ns0:is>
      </ns0:c>
      <ns0:c r="C15" s="2" t="inlineStr">
        <ns0:is>
          <ns0:t>S001</ns0:t>
        </ns0:is>
      </ns0:c>
      <ns0:c r="D15" s="6" t="n">
        <ns0:v>1380.272522931012</ns0:v>
      </ns0:c>
    </ns0:row>
    <ns0:row r="16" ht="25" customHeight="1">
      <ns0:c r="A16" s="2" t="inlineStr">
        <ns0:is>
          <ns0:t>S001-WAT-08</ns0:t>
        </ns0:is>
      </ns0:c>
      <ns0:c r="B16" s="2" t="inlineStr">
        <ns0:is>
          <ns0:t>Q2-0008</ns0:t>
        </ns0:is>
      </ns0:c>
      <ns0:c r="C16" s="2" t="inlineStr">
        <ns0:is>
          <ns0:t>S001</ns0:t>
        </ns0:is>
      </ns0:c>
      <ns0:c r="D16" s="6" t="n">
        <ns0:v>1380.272522931012</ns0:v>
      </ns0:c>
    </ns0:row>
    <ns0:row r="17" ht="25" customHeight="1">
      <ns0:c r="A17" s="2" t="inlineStr">
        <ns0:is>
          <ns0:t>S002-FOD-01</ns0:t>
        </ns0:is>
      </ns0:c>
      <ns0:c r="B17" s="2" t="inlineStr">
        <ns0:is>
          <ns0:t>Q2-0012</ns0:t>
        </ns0:is>
      </ns0:c>
      <ns0:c r="C17" s="2" t="inlineStr">
        <ns0:is>
          <ns0:t>S002</ns0:t>
        </ns0:is>
      </ns0:c>
      <ns0:c r="D17" s="6" t="n">
        <ns0:v>3245.5061288743</ns0:v>
      </ns0:c>
    </ns0:row>
    <ns0:row r="18" ht="25" customHeight="1">
      <ns0:c r="A18" s="2" t="inlineStr">
        <ns0:is>
          <ns0:t>S002-FOD-02</ns0:t>
        </ns0:is>
      </ns0:c>
      <ns0:c r="B18" s="2" t="inlineStr">
        <ns0:is>
          <ns0:t>Q2-0012</ns0:t>
        </ns0:is>
      </ns0:c>
      <ns0:c r="C18" s="2" t="inlineStr">
        <ns0:is>
          <ns0:t>S002</ns0:t>
        </ns0:is>
      </ns0:c>
      <ns0:c r="D18" s="6" t="n">
        <ns0:v>3245.5061288743</ns0:v>
      </ns0:c>
    </ns0:row>
    <ns0:row r="19" ht="25" customHeight="1">
      <ns0:c r="A19" s="2" t="inlineStr">
        <ns0:is>
          <ns0:t>S002-HYG-01</ns0:t>
        </ns0:is>
      </ns0:c>
      <ns0:c r="B19" s="2" t="inlineStr">
        <ns0:is>
          <ns0:t>Q2-0012</ns0:t>
        </ns0:is>
      </ns0:c>
      <ns0:c r="C19" s="2" t="inlineStr">
        <ns0:is>
          <ns0:t>S002</ns0:t>
        </ns0:is>
      </ns0:c>
      <ns0:c r="D19" s="6" t="n">
        <ns0:v>3245.5061288743</ns0:v>
      </ns0:c>
    </ns0:row>
    <ns0:row r="20" ht="25" customHeight="1">
      <ns0:c r="A20" s="2" t="inlineStr">
        <ns0:is>
          <ns0:t>S002-MED-01</ns0:t>
        </ns0:is>
      </ns0:c>
      <ns0:c r="B20" s="2" t="inlineStr">
        <ns0:is>
          <ns0:t>Q2-0012</ns0:t>
        </ns0:is>
      </ns0:c>
      <ns0:c r="C20" s="2" t="inlineStr">
        <ns0:is>
          <ns0:t>S002</ns0:t>
        </ns0:is>
      </ns0:c>
      <ns0:c r="D20" s="6" t="n">
        <ns0:v>3245.5061288743</ns0:v>
      </ns0:c>
    </ns0:row>
    <ns0:row r="21" ht="25" customHeight="1">
      <ns0:c r="A21" s="2" t="inlineStr">
        <ns0:is>
          <ns0:t>S002-WAT-01</ns0:t>
        </ns0:is>
      </ns0:c>
      <ns0:c r="B21" s="2" t="inlineStr">
        <ns0:is>
          <ns0:t>Q2-0012</ns0:t>
        </ns0:is>
      </ns0:c>
      <ns0:c r="C21" s="2" t="inlineStr">
        <ns0:is>
          <ns0:t>S002</ns0:t>
        </ns0:is>
      </ns0:c>
      <ns0:c r="D21" s="6" t="n">
        <ns0:v>3245.5061288743</ns0:v>
      </ns0:c>
    </ns0:row>
    <ns0:row r="22" ht="25" customHeight="1">
      <ns0:c r="A22" s="2" t="inlineStr">
        <ns0:is>
          <ns0:t>S002-WAT-02</ns0:t>
        </ns0:is>
      </ns0:c>
      <ns0:c r="B22" s="2" t="inlineStr">
        <ns0:is>
          <ns0:t>Q2-0001</ns0:t>
        </ns0:is>
      </ns0:c>
      <ns0:c r="C22" s="2" t="inlineStr">
        <ns0:is>
          <ns0:t>S002</ns0:t>
        </ns0:is>
      </ns0:c>
      <ns0:c r="D22" s="6" t="n">
        <ns0:v>1495.90200397399</ns0:v>
      </ns0:c>
    </ns0:row>
    <ns0:row r="23" ht="25" customHeight="1">
      <ns0:c r="A23" s="2" t="inlineStr">
        <ns0:is>
          <ns0:t>S002-WAT-03</ns0:t>
        </ns0:is>
      </ns0:c>
      <ns0:c r="B23" s="2" t="inlineStr">
        <ns0:is>
          <ns0:t>Q2-0012</ns0:t>
        </ns0:is>
      </ns0:c>
      <ns0:c r="C23" s="2" t="inlineStr">
        <ns0:is>
          <ns0:t>S002</ns0:t>
        </ns0:is>
      </ns0:c>
      <ns0:c r="D23" s="6" t="n">
        <ns0:v>3245.5061288743</ns0:v>
      </ns0:c>
    </ns0:row>
    <ns0:row r="24" ht="25" customHeight="1">
      <ns0:c r="A24" s="2" t="inlineStr">
        <ns0:is>
          <ns0:t>S002-WAT-04</ns0:t>
        </ns0:is>
      </ns0:c>
      <ns0:c r="B24" s="2" t="inlineStr">
        <ns0:is>
          <ns0:t>Q2-0012</ns0:t>
        </ns0:is>
      </ns0:c>
      <ns0:c r="C24" s="2" t="inlineStr">
        <ns0:is>
          <ns0:t>S002</ns0:t>
        </ns0:is>
      </ns0:c>
      <ns0:c r="D24" s="6" t="n">
        <ns0:v>3245.5061288743</ns0:v>
      </ns0:c>
    </ns0:row>
    <ns0:row r="25" ht="25" customHeight="1">
      <ns0:c r="A25" s="2" t="inlineStr">
        <ns0:is>
          <ns0:t>S003-FOD-01</ns0:t>
        </ns0:is>
      </ns0:c>
      <ns0:c r="B25" s="2" t="inlineStr">
        <ns0:is>
          <ns0:t>Q2-0019</ns0:t>
        </ns0:is>
      </ns0:c>
      <ns0:c r="C25" s="2" t="inlineStr">
        <ns0:is>
          <ns0:t>S003</ns0:t>
        </ns0:is>
      </ns0:c>
      <ns0:c r="D25" s="6" t="n">
        <ns0:v>5577.566067436208</ns0:v>
      </ns0:c>
    </ns0:row>
    <ns0:row r="26" ht="25" customHeight="1">
      <ns0:c r="A26" s="2" t="inlineStr">
        <ns0:is>
          <ns0:t>S003-FOD-02</ns0:t>
        </ns0:is>
      </ns0:c>
      <ns0:c r="B26" s="2" t="inlineStr">
        <ns0:is>
          <ns0:t>Q2-0019</ns0:t>
        </ns0:is>
      </ns0:c>
      <ns0:c r="C26" s="2" t="inlineStr">
        <ns0:is>
          <ns0:t>S003</ns0:t>
        </ns0:is>
      </ns0:c>
      <ns0:c r="D26" s="6" t="n">
        <ns0:v>5577.566067436208</ns0:v>
      </ns0:c>
    </ns0:row>
    <ns0:row r="27" ht="25" customHeight="1">
      <ns0:c r="A27" s="2" t="inlineStr">
        <ns0:is>
          <ns0:t>S003-HYG-01</ns0:t>
        </ns0:is>
      </ns0:c>
      <ns0:c r="B27" s="2" t="inlineStr">
        <ns0:is>
          <ns0:t>Q2-0019</ns0:t>
        </ns0:is>
      </ns0:c>
      <ns0:c r="C27" s="2" t="inlineStr">
        <ns0:is>
          <ns0:t>S003</ns0:t>
        </ns0:is>
      </ns0:c>
      <ns0:c r="D27" s="6" t="n">
        <ns0:v>5577.566067436208</ns0:v>
      </ns0:c>
    </ns0:row>
    <ns0:row r="28" ht="25" customHeight="1">
      <ns0:c r="A28" s="2" t="inlineStr">
        <ns0:is>
          <ns0:t>S003-MED-01</ns0:t>
        </ns0:is>
      </ns0:c>
      <ns0:c r="B28" s="2" t="inlineStr">
        <ns0:is>
          <ns0:t>Q2-0019</ns0:t>
        </ns0:is>
      </ns0:c>
      <ns0:c r="C28" s="2" t="inlineStr">
        <ns0:is>
          <ns0:t>S003</ns0:t>
        </ns0:is>
      </ns0:c>
      <ns0:c r="D28" s="6" t="n">
        <ns0:v>5577.566067436208</ns0:v>
      </ns0:c>
    </ns0:row>
    <ns0:row r="29" ht="25" customHeight="1">
      <ns0:c r="A29" s="2" t="inlineStr">
        <ns0:is>
          <ns0:t>S003-WAT-01</ns0:t>
        </ns0:is>
      </ns0:c>
      <ns0:c r="B29" s="2" t="inlineStr">
        <ns0:is>
          <ns0:t>Q2-0019</ns0:t>
        </ns0:is>
      </ns0:c>
      <ns0:c r="C29" s="2" t="inlineStr">
        <ns0:is>
          <ns0:t>S003</ns0:t>
        </ns0:is>
      </ns0:c>
      <ns0:c r="D29" s="6" t="n">
        <ns0:v>5577.566067436208</ns0:v>
      </ns0:c>
    </ns0:row>
    <ns0:row r="30" ht="25" customHeight="1">
      <ns0:c r="A30" s="2" t="inlineStr">
        <ns0:is>
          <ns0:t>S003-WAT-02</ns0:t>
        </ns0:is>
      </ns0:c>
      <ns0:c r="B30" s="2" t="inlineStr">
        <ns0:is>
          <ns0:t>Q2-0019</ns0:t>
        </ns0:is>
      </ns0:c>
      <ns0:c r="C30" s="2" t="inlineStr">
        <ns0:is>
          <ns0:t>S003</ns0:t>
        </ns0:is>
      </ns0:c>
      <ns0:c r="D30" s="6" t="n">
        <ns0:v>5577.566067436208</ns0:v>
      </ns0:c>
    </ns0:row>
    <ns0:row r="31" ht="25" customHeight="1">
      <ns0:c r="A31" s="2" t="inlineStr">
        <ns0:is>
          <ns0:t>S003-WAT-03</ns0:t>
        </ns0:is>
      </ns0:c>
      <ns0:c r="B31" s="2" t="inlineStr">
        <ns0:is>
          <ns0:t>Q2-0021</ns0:t>
        </ns0:is>
      </ns0:c>
      <ns0:c r="C31" s="2" t="inlineStr">
        <ns0:is>
          <ns0:t>S003</ns0:t>
        </ns0:is>
      </ns0:c>
      <ns0:c r="D31" s="6" t="n">
        <ns0:v>5770.703320011418</ns0:v>
      </ns0:c>
    </ns0:row>
    <ns0:row r="32" ht="25" customHeight="1">
      <ns0:c r="A32" s="2" t="inlineStr">
        <ns0:is>
          <ns0:t>S003-WAT-04</ns0:t>
        </ns0:is>
      </ns0:c>
      <ns0:c r="B32" s="2" t="inlineStr">
        <ns0:is>
          <ns0:t>Q2-0019</ns0:t>
        </ns0:is>
      </ns0:c>
      <ns0:c r="C32" s="2" t="inlineStr">
        <ns0:is>
          <ns0:t>S003</ns0:t>
        </ns0:is>
      </ns0:c>
      <ns0:c r="D32" s="6" t="n">
        <ns0:v>5577.566067436208</ns0:v>
      </ns0:c>
    </ns0:row>
    <ns0:row r="33" ht="25" customHeight="1">
      <ns0:c r="A33" s="2" t="inlineStr">
        <ns0:is>
          <ns0:t>S004-FOD-01</ns0:t>
        </ns0:is>
      </ns0:c>
      <ns0:c r="B33" s="2" t="inlineStr">
        <ns0:is>
          <ns0:t>Q2-0016</ns0:t>
        </ns0:is>
      </ns0:c>
      <ns0:c r="C33" s="2" t="inlineStr">
        <ns0:is>
          <ns0:t>S004</ns0:t>
        </ns0:is>
      </ns0:c>
      <ns0:c r="D33" s="6" t="n">
        <ns0:v>4064.935110530155</ns0:v>
      </ns0:c>
    </ns0:row>
    <ns0:row r="34" ht="25" customHeight="1">
      <ns0:c r="A34" s="2" t="inlineStr">
        <ns0:is>
          <ns0:t>S004-HYG-01</ns0:t>
        </ns0:is>
      </ns0:c>
      <ns0:c r="B34" s="2" t="inlineStr">
        <ns0:is>
          <ns0:t>Q2-0016</ns0:t>
        </ns0:is>
      </ns0:c>
      <ns0:c r="C34" s="2" t="inlineStr">
        <ns0:is>
          <ns0:t>S004</ns0:t>
        </ns0:is>
      </ns0:c>
      <ns0:c r="D34" s="6" t="n">
        <ns0:v>4064.935110530155</ns0:v>
      </ns0:c>
    </ns0:row>
    <ns0:row r="35" ht="25" customHeight="1">
      <ns0:c r="A35" s="2" t="inlineStr">
        <ns0:is>
          <ns0:t>S004-MED-01</ns0:t>
        </ns0:is>
      </ns0:c>
      <ns0:c r="B35" s="2" t="inlineStr">
        <ns0:is>
          <ns0:t>Q2-0016</ns0:t>
        </ns0:is>
      </ns0:c>
      <ns0:c r="C35" s="2" t="inlineStr">
        <ns0:is>
          <ns0:t>S004</ns0:t>
        </ns0:is>
      </ns0:c>
      <ns0:c r="D35" s="6" t="n">
        <ns0:v>4064.935110530155</ns0:v>
      </ns0:c>
    </ns0:row>
    <ns0:row r="36" ht="25" customHeight="1">
      <ns0:c r="A36" s="2" t="inlineStr">
        <ns0:is>
          <ns0:t>S004-WAT-01</ns0:t>
        </ns0:is>
      </ns0:c>
      <ns0:c r="B36" s="2" t="inlineStr">
        <ns0:is>
          <ns0:t>Q2-0016</ns0:t>
        </ns0:is>
      </ns0:c>
      <ns0:c r="C36" s="2" t="inlineStr">
        <ns0:is>
          <ns0:t>S004</ns0:t>
        </ns0:is>
      </ns0:c>
      <ns0:c r="D36" s="6" t="n">
        <ns0:v>4064.935110530155</ns0:v>
      </ns0:c>
    </ns0:row>
    <ns0:row r="37" ht="25" customHeight="1">
      <ns0:c r="A37" s="2" t="inlineStr">
        <ns0:is>
          <ns0:t>S004-WAT-02</ns0:t>
        </ns0:is>
      </ns0:c>
      <ns0:c r="B37" s="2" t="inlineStr">
        <ns0:is>
          <ns0:t>Q2-0016</ns0:t>
        </ns0:is>
      </ns0:c>
      <ns0:c r="C37" s="2" t="inlineStr">
        <ns0:is>
          <ns0:t>S004</ns0:t>
        </ns0:is>
      </ns0:c>
      <ns0:c r="D37" s="6" t="n">
        <ns0:v>4064.935110530155</ns0:v>
      </ns0:c>
    </ns0:row>
    <ns0:row r="38" ht="25" customHeight="1">
      <ns0:c r="A38" s="2" t="inlineStr">
        <ns0:is>
          <ns0:t>S004-WAT-03</ns0:t>
        </ns0:is>
      </ns0:c>
      <ns0:c r="B38" s="2" t="inlineStr">
        <ns0:is>
          <ns0:t>Q2-0016</ns0:t>
        </ns0:is>
      </ns0:c>
      <ns0:c r="C38" s="2" t="inlineStr">
        <ns0:is>
          <ns0:t>S004</ns0:t>
        </ns0:is>
      </ns0:c>
      <ns0:c r="D38" s="6" t="n">
        <ns0:v>4064.935110530155</ns0:v>
      </ns0:c>
    </ns0:row>
    <ns0:row r="39" ht="25" customHeight="1">
      <ns0:c r="A39" s="2" t="inlineStr">
        <ns0:is>
          <ns0:t>S005-FOD-01</ns0:t>
        </ns0:is>
      </ns0:c>
      <ns0:c r="B39" s="2" t="inlineStr">
        <ns0:is>
          <ns0:t>Q2-0023</ns0:t>
        </ns0:is>
      </ns0:c>
      <ns0:c r="C39" s="2" t="inlineStr">
        <ns0:is>
          <ns0:t>S005</ns0:t>
        </ns0:is>
      </ns0:c>
      <ns0:c r="D39" s="6" t="n">
        <ns0:v>6168.054974070438</ns0:v>
      </ns0:c>
    </ns0:row>
    <ns0:row r="40" ht="25" customHeight="1">
      <ns0:c r="A40" s="2" t="inlineStr">
        <ns0:is>
          <ns0:t>S005-HYG-01</ns0:t>
        </ns0:is>
      </ns0:c>
      <ns0:c r="B40" s="2" t="inlineStr">
        <ns0:is>
          <ns0:t>Q2-0023</ns0:t>
        </ns0:is>
      </ns0:c>
      <ns0:c r="C40" s="2" t="inlineStr">
        <ns0:is>
          <ns0:t>S005</ns0:t>
        </ns0:is>
      </ns0:c>
      <ns0:c r="D40" s="6" t="n">
        <ns0:v>6168.054974070438</ns0:v>
      </ns0:c>
    </ns0:row>
    <ns0:row r="41" ht="25" customHeight="1">
      <ns0:c r="A41" s="2" t="inlineStr">
        <ns0:is>
          <ns0:t>S005-MED-01</ns0:t>
        </ns0:is>
      </ns0:c>
      <ns0:c r="B41" s="2" t="inlineStr">
        <ns0:is>
          <ns0:t>Q2-0023</ns0:t>
        </ns0:is>
      </ns0:c>
      <ns0:c r="C41" s="2" t="inlineStr">
        <ns0:is>
          <ns0:t>S005</ns0:t>
        </ns0:is>
      </ns0:c>
      <ns0:c r="D41" s="6" t="n">
        <ns0:v>6168.054974070438</ns0:v>
      </ns0:c>
    </ns0:row>
    <ns0:row r="42" ht="25" customHeight="1">
      <ns0:c r="A42" s="2" t="inlineStr">
        <ns0:is>
          <ns0:t>S005-WAT-01</ns0:t>
        </ns0:is>
      </ns0:c>
      <ns0:c r="B42" s="2" t="inlineStr">
        <ns0:is>
          <ns0:t>Q2-0023</ns0:t>
        </ns0:is>
      </ns0:c>
      <ns0:c r="C42" s="2" t="inlineStr">
        <ns0:is>
          <ns0:t>S005</ns0:t>
        </ns0:is>
      </ns0:c>
      <ns0:c r="D42" s="6" t="n">
        <ns0:v>6168.054974070438</ns0:v>
      </ns0:c>
    </ns0:row>
    <ns0:row r="43" ht="25" customHeight="1">
      <ns0:c r="A43" s="2" t="inlineStr">
        <ns0:is>
          <ns0:t>S005-WAT-02</ns0:t>
        </ns0:is>
      </ns0:c>
      <ns0:c r="B43" s="2" t="inlineStr">
        <ns0:is>
          <ns0:t>Q2-0023</ns0:t>
        </ns0:is>
      </ns0:c>
      <ns0:c r="C43" s="2" t="inlineStr">
        <ns0:is>
          <ns0:t>S005</ns0:t>
        </ns0:is>
      </ns0:c>
      <ns0:c r="D43" s="6" t="n">
        <ns0:v>6168.054974070438</ns0:v>
      </ns0:c>
    </ns0:row>
    <ns0:row r="44" ht="25" customHeight="1">
      <ns0:c r="A44" s="2" t="inlineStr">
        <ns0:is>
          <ns0:t>S005-WAT-03</ns0:t>
        </ns0:is>
      </ns0:c>
      <ns0:c r="B44" s="2" t="inlineStr">
        <ns0:is>
          <ns0:t>Q2-0023</ns0:t>
        </ns0:is>
      </ns0:c>
      <ns0:c r="C44" s="2" t="inlineStr">
        <ns0:is>
          <ns0:t>S005</ns0:t>
        </ns0:is>
      </ns0:c>
      <ns0:c r="D44" s="6" t="n">
        <ns0:v>6168.054974070438</ns0:v>
      </ns0:c>
    </ns0:row>
    <ns0:row r="45" ht="25" customHeight="1">
      <ns0:c r="A45" s="2" t="inlineStr">
        <ns0:is>
          <ns0:t>S006-FOD-01</ns0:t>
        </ns0:is>
      </ns0:c>
      <ns0:c r="B45" s="2" t="inlineStr">
        <ns0:is>
          <ns0:t>Q2-0015</ns0:t>
        </ns0:is>
      </ns0:c>
      <ns0:c r="C45" s="2" t="inlineStr">
        <ns0:is>
          <ns0:t>S006</ns0:t>
        </ns0:is>
      </ns0:c>
      <ns0:c r="D45" s="6" t="n">
        <ns0:v>3151.351261420347</ns0:v>
      </ns0:c>
    </ns0:row>
    <ns0:row r="46" ht="25" customHeight="1">
      <ns0:c r="A46" s="2" t="inlineStr">
        <ns0:is>
          <ns0:t>S006-HYG-01</ns0:t>
        </ns0:is>
      </ns0:c>
      <ns0:c r="B46" s="2" t="inlineStr">
        <ns0:is>
          <ns0:t>Q2-0025</ns0:t>
        </ns0:is>
      </ns0:c>
      <ns0:c r="C46" s="2" t="inlineStr">
        <ns0:is>
          <ns0:t>S006</ns0:t>
        </ns0:is>
      </ns0:c>
      <ns0:c r="D46" s="6" t="n">
        <ns0:v>5935.182980781176</ns0:v>
      </ns0:c>
    </ns0:row>
    <ns0:row r="47" ht="25" customHeight="1">
      <ns0:c r="A47" s="2" t="inlineStr">
        <ns0:is>
          <ns0:t>S006-MED-01</ns0:t>
        </ns0:is>
      </ns0:c>
      <ns0:c r="B47" s="2" t="inlineStr">
        <ns0:is>
          <ns0:t>Q2-0003</ns0:t>
        </ns0:is>
      </ns0:c>
      <ns0:c r="C47" s="2" t="inlineStr">
        <ns0:is>
          <ns0:t>S006</ns0:t>
        </ns0:is>
      </ns0:c>
      <ns0:c r="D47" s="6" t="n">
        <ns0:v>935.5016532232471</ns0:v>
      </ns0:c>
    </ns0:row>
    <ns0:row r="48" ht="25" customHeight="1">
      <ns0:c r="A48" s="2" t="inlineStr">
        <ns0:is>
          <ns0:t>S006-WAT-01</ns0:t>
        </ns0:is>
      </ns0:c>
      <ns0:c r="B48" s="2" t="inlineStr">
        <ns0:is>
          <ns0:t>Q2-0005</ns0:t>
        </ns0:is>
      </ns0:c>
      <ns0:c r="C48" s="2" t="inlineStr">
        <ns0:is>
          <ns0:t>S006</ns0:t>
        </ns0:is>
      </ns0:c>
      <ns0:c r="D48" s="6" t="n">
        <ns0:v>822.3983390173997</ns0:v>
      </ns0:c>
    </ns0:row>
    <ns0:row r="49" ht="25" customHeight="1">
      <ns0:c r="A49" s="2" t="inlineStr">
        <ns0:is>
          <ns0:t>S006-WAT-02</ns0:t>
        </ns0:is>
      </ns0:c>
      <ns0:c r="B49" s="2" t="inlineStr">
        <ns0:is>
          <ns0:t>Q2-0015</ns0:t>
        </ns0:is>
      </ns0:c>
      <ns0:c r="C49" s="2" t="inlineStr">
        <ns0:is>
          <ns0:t>S006</ns0:t>
        </ns0:is>
      </ns0:c>
      <ns0:c r="D49" s="6" t="n">
        <ns0:v>3151.351261420347</ns0:v>
      </ns0:c>
    </ns0:row>
    <ns0:row r="50" ht="25" customHeight="1">
      <ns0:c r="A50" s="2" t="inlineStr">
        <ns0:is>
          <ns0:t>S006-WAT-03</ns0:t>
        </ns0:is>
      </ns0:c>
      <ns0:c r="B50" s="2" t="inlineStr">
        <ns0:is>
          <ns0:t>Q2-0003</ns0:t>
        </ns0:is>
      </ns0:c>
      <ns0:c r="C50" s="2" t="inlineStr">
        <ns0:is>
          <ns0:t>S006</ns0:t>
        </ns0:is>
      </ns0:c>
      <ns0:c r="D50" s="6" t="n">
        <ns0:v>935.5016532232471</ns0:v>
      </ns0:c>
    </ns0:row>
    <ns0:row r="51" ht="25" customHeight="1">
      <ns0:c r="A51" s="2" t="inlineStr">
        <ns0:is>
          <ns0:t>S007-FOD-01</ns0:t>
        </ns0:is>
      </ns0:c>
      <ns0:c r="B51" s="2" t="inlineStr">
        <ns0:is>
          <ns0:t>Q2-0006</ns0:t>
        </ns0:is>
      </ns0:c>
      <ns0:c r="C51" s="2" t="inlineStr">
        <ns0:is>
          <ns0:t>S007</ns0:t>
        </ns0:is>
      </ns0:c>
      <ns0:c r="D51" s="6" t="n">
        <ns0:v>1921.597401938587</ns0:v>
      </ns0:c>
    </ns0:row>
    <ns0:row r="52" ht="25" customHeight="1">
      <ns0:c r="A52" s="2" t="inlineStr">
        <ns0:is>
          <ns0:t>S007-HYG-01</ns0:t>
        </ns0:is>
      </ns0:c>
      <ns0:c r="B52" s="2" t="inlineStr">
        <ns0:is>
          <ns0:t>Q2-0006</ns0:t>
        </ns0:is>
      </ns0:c>
      <ns0:c r="C52" s="2" t="inlineStr">
        <ns0:is>
          <ns0:t>S007</ns0:t>
        </ns0:is>
      </ns0:c>
      <ns0:c r="D52" s="6" t="n">
        <ns0:v>1921.597401938587</ns0:v>
      </ns0:c>
    </ns0:row>
    <ns0:row r="53" ht="25" customHeight="1">
      <ns0:c r="A53" s="2" t="inlineStr">
        <ns0:is>
          <ns0:t>S007-MED-01</ns0:t>
        </ns0:is>
      </ns0:c>
      <ns0:c r="B53" s="2" t="inlineStr">
        <ns0:is>
          <ns0:t>Q2-0006</ns0:t>
        </ns0:is>
      </ns0:c>
      <ns0:c r="C53" s="2" t="inlineStr">
        <ns0:is>
          <ns0:t>S007</ns0:t>
        </ns0:is>
      </ns0:c>
      <ns0:c r="D53" s="6" t="n">
        <ns0:v>1921.597401938587</ns0:v>
      </ns0:c>
    </ns0:row>
    <ns0:row r="54" ht="25" customHeight="1">
      <ns0:c r="A54" s="2" t="inlineStr">
        <ns0:is>
          <ns0:t>S007-WAT-01</ns0:t>
        </ns0:is>
      </ns0:c>
      <ns0:c r="B54" s="2" t="inlineStr">
        <ns0:is>
          <ns0:t>Q2-0006</ns0:t>
        </ns0:is>
      </ns0:c>
      <ns0:c r="C54" s="2" t="inlineStr">
        <ns0:is>
          <ns0:t>S007</ns0:t>
        </ns0:is>
      </ns0:c>
      <ns0:c r="D54" s="6" t="n">
        <ns0:v>1921.597401938587</ns0:v>
      </ns0:c>
    </ns0:row>
    <ns0:row r="55" ht="25" customHeight="1">
      <ns0:c r="A55" s="2" t="inlineStr">
        <ns0:is>
          <ns0:t>S007-WAT-02</ns0:t>
        </ns0:is>
      </ns0:c>
      <ns0:c r="B55" s="2" t="inlineStr">
        <ns0:is>
          <ns0:t>Q2-0006</ns0:t>
        </ns0:is>
      </ns0:c>
      <ns0:c r="C55" s="2" t="inlineStr">
        <ns0:is>
          <ns0:t>S007</ns0:t>
        </ns0:is>
      </ns0:c>
      <ns0:c r="D55" s="6" t="n">
        <ns0:v>1921.597401938587</ns0:v>
      </ns0:c>
    </ns0:row>
    <ns0:row r="56" ht="25" customHeight="1">
      <ns0:c r="A56" s="2" t="inlineStr">
        <ns0:is>
          <ns0:t>S008-FOD-01</ns0:t>
        </ns0:is>
      </ns0:c>
      <ns0:c r="B56" s="2" t="inlineStr">
        <ns0:is>
          <ns0:t>Q2-0020</ns0:t>
        </ns0:is>
      </ns0:c>
      <ns0:c r="C56" s="2" t="inlineStr">
        <ns0:is>
          <ns0:t>S008</ns0:t>
        </ns0:is>
      </ns0:c>
      <ns0:c r="D56" s="6" t="n">
        <ns0:v>5420.566830045055</ns0:v>
      </ns0:c>
    </ns0:row>
    <ns0:row r="57" ht="25" customHeight="1">
      <ns0:c r="A57" s="2" t="inlineStr">
        <ns0:is>
          <ns0:t>S008-HYG-01</ns0:t>
        </ns0:is>
      </ns0:c>
      <ns0:c r="B57" s="2" t="inlineStr">
        <ns0:is>
          <ns0:t>Q2-0017</ns0:t>
        </ns0:is>
      </ns0:c>
      <ns0:c r="C57" s="2" t="inlineStr">
        <ns0:is>
          <ns0:t>S008</ns0:t>
        </ns0:is>
      </ns0:c>
      <ns0:c r="D57" s="6" t="n">
        <ns0:v>3933.821071402868</ns0:v>
      </ns0:c>
    </ns0:row>
    <ns0:row r="58" ht="25" customHeight="1">
      <ns0:c r="A58" s="2" t="inlineStr">
        <ns0:is>
          <ns0:t>S008-MED-01</ns0:t>
        </ns0:is>
      </ns0:c>
      <ns0:c r="B58" s="2" t="inlineStr">
        <ns0:is>
          <ns0:t>Q2-0020</ns0:t>
        </ns0:is>
      </ns0:c>
      <ns0:c r="C58" s="2" t="inlineStr">
        <ns0:is>
          <ns0:t>S008</ns0:t>
        </ns0:is>
      </ns0:c>
      <ns0:c r="D58" s="6" t="n">
        <ns0:v>5420.566830045055</ns0:v>
      </ns0:c>
    </ns0:row>
    <ns0:row r="59" ht="25" customHeight="1">
      <ns0:c r="A59" s="2" t="inlineStr">
        <ns0:is>
          <ns0:t>S008-WAT-01</ns0:t>
        </ns0:is>
      </ns0:c>
      <ns0:c r="B59" s="2" t="inlineStr">
        <ns0:is>
          <ns0:t>Q2-0017</ns0:t>
        </ns0:is>
      </ns0:c>
      <ns0:c r="C59" s="2" t="inlineStr">
        <ns0:is>
          <ns0:t>S008</ns0:t>
        </ns0:is>
      </ns0:c>
      <ns0:c r="D59" s="6" t="n">
        <ns0:v>3933.821071402868</ns0:v>
      </ns0:c>
    </ns0:row>
    <ns0:row r="60" ht="25" customHeight="1">
      <ns0:c r="A60" s="2" t="inlineStr">
        <ns0:is>
          <ns0:t>S008-WAT-02</ns0:t>
        </ns0:is>
      </ns0:c>
      <ns0:c r="B60" s="2" t="inlineStr">
        <ns0:is>
          <ns0:t>Q2-0022</ns0:t>
        </ns0:is>
      </ns0:c>
      <ns0:c r="C60" s="2" t="inlineStr">
        <ns0:is>
          <ns0:t>S008</ns0:t>
        </ns0:is>
      </ns0:c>
      <ns0:c r="D60" s="6" t="n">
        <ns0:v>5775.662818578571</ns0:v>
      </ns0:c>
    </ns0:row>
    <ns0:row r="61" ht="25" customHeight="1">
      <ns0:c r="A61" s="2" t="inlineStr">
        <ns0:is>
          <ns0:t>S009-FOD-01</ns0:t>
        </ns0:is>
      </ns0:c>
      <ns0:c r="B61" s="2" t="inlineStr">
        <ns0:is>
          <ns0:t>Q2-0001</ns0:t>
        </ns0:is>
      </ns0:c>
      <ns0:c r="C61" s="2" t="inlineStr">
        <ns0:is>
          <ns0:t>S009</ns0:t>
        </ns0:is>
      </ns0:c>
      <ns0:c r="D61" s="6" t="n">
        <ns0:v>1095.909822944162</ns0:v>
      </ns0:c>
    </ns0:row>
    <ns0:row r="62" ht="25" customHeight="1">
      <ns0:c r="A62" s="2" t="inlineStr">
        <ns0:is>
          <ns0:t>S009-MED-01</ns0:t>
        </ns0:is>
      </ns0:c>
      <ns0:c r="B62" s="2" t="inlineStr">
        <ns0:is>
          <ns0:t>Q2-0024</ns0:t>
        </ns0:is>
      </ns0:c>
      <ns0:c r="C62" s="2" t="inlineStr">
        <ns0:is>
          <ns0:t>S009</ns0:t>
        </ns0:is>
      </ns0:c>
      <ns0:c r="D62" s="6" t="n">
        <ns0:v>5996.108600298146</ns0:v>
      </ns0:c>
    </ns0:row>
    <ns0:row r="63" ht="25" customHeight="1">
      <ns0:c r="A63" s="2" t="inlineStr">
        <ns0:is>
          <ns0:t>S009-WAT-01</ns0:t>
        </ns0:is>
      </ns0:c>
      <ns0:c r="B63" s="2" t="inlineStr">
        <ns0:is>
          <ns0:t>Q2-0024</ns0:t>
        </ns0:is>
      </ns0:c>
      <ns0:c r="C63" s="2" t="inlineStr">
        <ns0:is>
          <ns0:t>S009</ns0:t>
        </ns0:is>
      </ns0:c>
      <ns0:c r="D63" s="6" t="n">
        <ns0:v>5996.108600298146</ns0:v>
      </ns0:c>
    </ns0:row>
    <ns0:row r="64" ht="25" customHeight="1">
      <ns0:c r="A64" s="2" t="inlineStr">
        <ns0:is>
          <ns0:t>S010-FOD-01</ns0:t>
        </ns0:is>
      </ns0:c>
      <ns0:c r="B64" s="2" t="inlineStr">
        <ns0:is>
          <ns0:t>Q2-0009</ns0:t>
        </ns0:is>
      </ns0:c>
      <ns0:c r="C64" s="2" t="inlineStr">
        <ns0:is>
          <ns0:t>S010</ns0:t>
        </ns0:is>
      </ns0:c>
      <ns0:c r="D64" s="6" t="n">
        <ns0:v>2232.508437924908</ns0:v>
      </ns0:c>
    </ns0:row>
    <ns0:row r="65" ht="25" customHeight="1">
      <ns0:c r="A65" s="2" t="inlineStr">
        <ns0:is>
          <ns0:t>S010-MED-01</ns0:t>
        </ns0:is>
      </ns0:c>
      <ns0:c r="B65" s="2" t="inlineStr">
        <ns0:is>
          <ns0:t>Q2-0009</ns0:t>
        </ns0:is>
      </ns0:c>
      <ns0:c r="C65" s="2" t="inlineStr">
        <ns0:is>
          <ns0:t>S010</ns0:t>
        </ns0:is>
      </ns0:c>
      <ns0:c r="D65" s="6" t="n">
        <ns0:v>2232.508437924908</ns0:v>
      </ns0:c>
    </ns0:row>
    <ns0:row r="66" ht="25" customHeight="1">
      <ns0:c r="A66" s="2" t="inlineStr">
        <ns0:is>
          <ns0:t>S010-WAT-01</ns0:t>
        </ns0:is>
      </ns0:c>
      <ns0:c r="B66" s="2" t="inlineStr">
        <ns0:is>
          <ns0:t>Q2-0009</ns0:t>
        </ns0:is>
      </ns0:c>
      <ns0:c r="C66" s="2" t="inlineStr">
        <ns0:is>
          <ns0:t>S010</ns0:t>
        </ns0:is>
      </ns0:c>
      <ns0:c r="D66" s="6" t="n">
        <ns0:v>2232.508437924908</ns0:v>
      </ns0:c>
    </ns0:row>
    <ns0:row r="67" ht="25" customHeight="1">
      <ns0:c r="A67" s="2" t="inlineStr">
        <ns0:is>
          <ns0:t>S011-FOD-01</ns0:t>
        </ns0:is>
      </ns0:c>
      <ns0:c r="B67" s="2" t="inlineStr">
        <ns0:is>
          <ns0:t>Q2-0020</ns0:t>
        </ns0:is>
      </ns0:c>
      <ns0:c r="C67" s="2" t="inlineStr">
        <ns0:is>
          <ns0:t>S011</ns0:t>
        </ns0:is>
      </ns0:c>
      <ns0:c r="D67" s="6" t="n">
        <ns0:v>6083.38030208264</ns0:v>
      </ns0:c>
    </ns0:row>
    <ns0:row r="68" ht="25" customHeight="1">
      <ns0:c r="A68" s="2" t="inlineStr">
        <ns0:is>
          <ns0:t>S011-MED-01</ns0:t>
        </ns0:is>
      </ns0:c>
      <ns0:c r="B68" s="2" t="inlineStr">
        <ns0:is>
          <ns0:t>Q2-0018</ns0:t>
        </ns0:is>
      </ns0:c>
      <ns0:c r="C68" s="2" t="inlineStr">
        <ns0:is>
          <ns0:t>S011</ns0:t>
        </ns0:is>
      </ns0:c>
      <ns0:c r="D68" s="6" t="n">
        <ns0:v>4654.240114626565</ns0:v>
      </ns0:c>
    </ns0:row>
    <ns0:row r="69" ht="25" customHeight="1">
      <ns0:c r="A69" s="2" t="inlineStr">
        <ns0:is>
          <ns0:t>S011-WAT-01</ns0:t>
        </ns0:is>
      </ns0:c>
      <ns0:c r="B69" s="2" t="inlineStr">
        <ns0:is>
          <ns0:t>Q2-0018</ns0:t>
        </ns0:is>
      </ns0:c>
      <ns0:c r="C69" s="2" t="inlineStr">
        <ns0:is>
          <ns0:t>S011</ns0:t>
        </ns0:is>
      </ns0:c>
      <ns0:c r="D69" s="6" t="n">
        <ns0:v>4654.240114626565</ns0:v>
      </ns0:c>
    </ns0:row>
    <ns0:row r="70" ht="25" customHeight="1">
      <ns0:c r="A70" s="2" t="inlineStr">
        <ns0:is>
          <ns0:t>S012-FOD-01</ns0:t>
        </ns0:is>
      </ns0:c>
      <ns0:c r="B70" s="2" t="inlineStr">
        <ns0:is>
          <ns0:t>Q2-0013</ns0:t>
        </ns0:is>
      </ns0:c>
      <ns0:c r="C70" s="2" t="inlineStr">
        <ns0:is>
          <ns0:t>S012</ns0:t>
        </ns0:is>
      </ns0:c>
      <ns0:c r="D70" s="6" t="n">
        <ns0:v>3099.670967248253</ns0:v>
      </ns0:c>
    </ns0:row>
    <ns0:row r="71" ht="25" customHeight="1">
      <ns0:c r="A71" s="2" t="inlineStr">
        <ns0:is>
          <ns0:t>S012-MED-01</ns0:t>
        </ns0:is>
      </ns0:c>
      <ns0:c r="B71" s="2" t="inlineStr">
        <ns0:is>
          <ns0:t>Q2-0013</ns0:t>
        </ns0:is>
      </ns0:c>
      <ns0:c r="C71" s="2" t="inlineStr">
        <ns0:is>
          <ns0:t>S012</ns0:t>
        </ns0:is>
      </ns0:c>
      <ns0:c r="D71" s="6" t="n">
        <ns0:v>3099.670967248253</ns0:v>
      </ns0:c>
    </ns0:row>
    <ns0:row r="72" ht="25" customHeight="1">
      <ns0:c r="A72" s="2" t="inlineStr">
        <ns0:is>
          <ns0:t>S012-WAT-01</ns0:t>
        </ns0:is>
      </ns0:c>
      <ns0:c r="B72" s="2" t="inlineStr">
        <ns0:is>
          <ns0:t>Q2-0013</ns0:t>
        </ns0:is>
      </ns0:c>
      <ns0:c r="C72" s="2" t="inlineStr">
        <ns0:is>
          <ns0:t>S012</ns0:t>
        </ns0:is>
      </ns0:c>
      <ns0:c r="D72" s="6" t="n">
        <ns0:v>3099.670967248253</ns0:v>
      </ns0:c>
    </ns0:row>
    <ns0:row r="73" ht="25" customHeight="1">
      <ns0:c r="A73" s="2" t="inlineStr">
        <ns0:is>
          <ns0:t>S013-FOD-01</ns0:t>
        </ns0:is>
      </ns0:c>
      <ns0:c r="B73" s="2" t="inlineStr">
        <ns0:is>
          <ns0:t>Q2-0007</ns0:t>
        </ns0:is>
      </ns0:c>
      <ns0:c r="C73" s="2" t="inlineStr">
        <ns0:is>
          <ns0:t>S013</ns0:t>
        </ns0:is>
      </ns0:c>
      <ns0:c r="D73" s="6" t="n">
        <ns0:v>1375.638945684585</ns0:v>
      </ns0:c>
    </ns0:row>
    <ns0:row r="74" ht="25" customHeight="1">
      <ns0:c r="A74" s="2" t="inlineStr">
        <ns0:is>
          <ns0:t>S013-MED-01</ns0:t>
        </ns0:is>
      </ns0:c>
      <ns0:c r="B74" s="2" t="inlineStr">
        <ns0:is>
          <ns0:t>Q2-0014</ns0:t>
        </ns0:is>
      </ns0:c>
      <ns0:c r="C74" s="2" t="inlineStr">
        <ns0:is>
          <ns0:t>S013</ns0:t>
        </ns0:is>
      </ns0:c>
      <ns0:c r="D74" s="6" t="n">
        <ns0:v>3275.987283352453</ns0:v>
      </ns0:c>
    </ns0:row>
    <ns0:row r="75" ht="25" customHeight="1">
      <ns0:c r="A75" s="2" t="inlineStr">
        <ns0:is>
          <ns0:t>S013-WAT-01</ns0:t>
        </ns0:is>
      </ns0:c>
      <ns0:c r="B75" s="2" t="inlineStr">
        <ns0:is>
          <ns0:t>Q2-0014</ns0:t>
        </ns0:is>
      </ns0:c>
      <ns0:c r="C75" s="2" t="inlineStr">
        <ns0:is>
          <ns0:t>S013</ns0:t>
        </ns0:is>
      </ns0:c>
      <ns0:c r="D75" s="6" t="n">
        <ns0:v>3275.987283352453</ns0:v>
      </ns0:c>
    </ns0:row>
    <ns0:row r="76" ht="25" customHeight="1">
      <ns0:c r="A76" s="2" t="inlineStr">
        <ns0:is>
          <ns0:t>S014-FOD-01</ns0:t>
        </ns0:is>
      </ns0:c>
      <ns0:c r="B76" s="2" t="inlineStr">
        <ns0:is>
          <ns0:t>Q2-0010</ns0:t>
        </ns0:is>
      </ns0:c>
      <ns0:c r="C76" s="2" t="inlineStr">
        <ns0:is>
          <ns0:t>S014</ns0:t>
        </ns0:is>
      </ns0:c>
      <ns0:c r="D76" s="6" t="n">
        <ns0:v>2523.663072048423</ns0:v>
      </ns0:c>
    </ns0:row>
    <ns0:row r="77" ht="25" customHeight="1">
      <ns0:c r="A77" s="2" t="inlineStr">
        <ns0:is>
          <ns0:t>S014-MED-01</ns0:t>
        </ns0:is>
      </ns0:c>
      <ns0:c r="B77" s="2" t="inlineStr">
        <ns0:is>
          <ns0:t>Q2-0011</ns0:t>
        </ns0:is>
      </ns0:c>
      <ns0:c r="C77" s="2" t="inlineStr">
        <ns0:is>
          <ns0:t>S014</ns0:t>
        </ns0:is>
      </ns0:c>
      <ns0:c r="D77" s="6" t="n">
        <ns0:v>3043.396517018398</ns0:v>
      </ns0:c>
    </ns0:row>
    <ns0:row r="78" ht="25" customHeight="1">
      <ns0:c r="A78" s="2" t="inlineStr">
        <ns0:is>
          <ns0:t>S014-WAT-01</ns0:t>
        </ns0:is>
      </ns0:c>
      <ns0:c r="B78" s="2" t="inlineStr">
        <ns0:is>
          <ns0:t>Q2-0010</ns0:t>
        </ns0:is>
      </ns0:c>
      <ns0:c r="C78" s="2" t="inlineStr">
        <ns0:is>
          <ns0:t>S014</ns0:t>
        </ns0:is>
      </ns0:c>
      <ns0:c r="D78" s="6" t="n">
        <ns0:v>2523.663072048423</ns0:v>
      </ns0:c>
    </ns0:row>
    <ns0:row r="79" ht="25" customHeight="1">
      <ns0:c r="A79" s="2" t="inlineStr">
        <ns0:is>
          <ns0:t>S015-FOD-01</ns0:t>
        </ns0:is>
      </ns0:c>
      <ns0:c r="B79" s="2" t="inlineStr">
        <ns0:is>
          <ns0:t>Q2-0004</ns0:t>
        </ns0:is>
      </ns0:c>
      <ns0:c r="C79" s="2" t="inlineStr">
        <ns0:is>
          <ns0:t>S015</ns0:t>
        </ns0:is>
      </ns0:c>
      <ns0:c r="D79" s="6" t="n">
        <ns0:v>1217.60378008683</ns0:v>
      </ns0:c>
    </ns0:row>
    <ns0:row r="80" ht="25" customHeight="1">
      <ns0:c r="A80" s="2" t="inlineStr">
        <ns0:is>
          <ns0:t>S015-MED-01</ns0:t>
        </ns0:is>
      </ns0:c>
      <ns0:c r="B80" s="2" t="inlineStr">
        <ns0:is>
          <ns0:t>Q2-0004</ns0:t>
        </ns0:is>
      </ns0:c>
      <ns0:c r="C80" s="2" t="inlineStr">
        <ns0:is>
          <ns0:t>S015</ns0:t>
        </ns0:is>
      </ns0:c>
      <ns0:c r="D80" s="6" t="n">
        <ns0:v>1217.60378008683</ns0:v>
      </ns0:c>
    </ns0:row>
    <ns0:row r="81" ht="25" customHeight="1">
      <ns0:c r="A81" s="2" t="inlineStr">
        <ns0:is>
          <ns0:t>S015-WAT-01</ns0:t>
        </ns0:is>
      </ns0:c>
      <ns0:c r="B81" s="2" t="inlineStr">
        <ns0:is>
          <ns0:t>Q2-0004</ns0:t>
        </ns0:is>
      </ns0:c>
      <ns0:c r="C81" s="2" t="inlineStr">
        <ns0:is>
          <ns0:t>S015</ns0:t>
        </ns0:is>
      </ns0:c>
      <ns0:c r="D81" s="6" t="n">
        <ns0:v>1217.60378008683</ns0:v>
      </ns0:c>
    </ns0:row>
  </ns0:sheetData>
  <ns0:autoFilter ref="A1:D81"/>
  <ns0:pageMargins left="0.75" right="0.75" top="1" bottom="1" header="0.5" footer="0.5"/>
  <ns0:pageSetup orientation="landscape" paperSize="8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L26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24" customWidth="1" min="2" max="2"/>
    <ns0:col width="78" customWidth="1" min="3" max="3"/>
    <ns0:col width="18" customWidth="1" min="4" max="4"/>
    <ns0:col width="19" customWidth="1" min="5" max="5"/>
    <ns0:col width="21" customWidth="1" min="6" max="6"/>
    <ns0:col width="17" customWidth="1" min="7" max="7"/>
    <ns0:col width="24" customWidth="1" min="8" max="8"/>
    <ns0:col width="21" customWidth="1" min="9" max="9"/>
    <ns0:col width="21" customWidth="1" min="10" max="10"/>
    <ns0:col width="18" customWidth="1" min="11" max="11"/>
    <ns0:col width="18" customWidth="1" min="12" max="12"/>
  </ns0:cols>
  <ns0:sheetData>
    <ns0:row r="1" ht="38" customHeight="1">
      <ns0:c r="A1" s="8" t="inlineStr">
        <ns0:is>
          <ns0:t>架次编号</ns0:t>
        </ns0:is>
      </ns0:c>
      <ns0:c r="B1" s="8" t="inlineStr">
        <ns0:is>
          <ns0:t>候选编号</ns0:t>
        </ns0:is>
      </ns0:c>
      <ns0:c r="C1" s="8" t="inlineStr">
        <ns0:is>
          <ns0:t>货箱编号列表</ns0:t>
        </ns0:is>
      </ns0:c>
      <ns0:c r="D1" s="8" t="inlineStr">
        <ns0:is>
          <ns0:t>总质量kg</ns0:t>
        </ns0:is>
      </ns0:c>
      <ns0:c r="E1" s="8" t="inlineStr">
        <ns0:is>
          <ns0:t>总体积m3</ns0:t>
        </ns0:is>
      </ns0:c>
      <ns0:c r="F1" s="8" t="inlineStr">
        <ns0:is>
          <ns0:t>实际起飞s</ns0:t>
        </ns0:is>
      </ns0:c>
      <ns0:c r="G1" s="8" t="inlineStr">
        <ns0:is>
          <ns0:t>返航SOC</ns0:t>
        </ns0:is>
      </ns0:c>
      <ns0:c r="H1" s="8" t="inlineStr">
        <ns0:is>
          <ns0:t>充满时刻s</ns0:t>
        </ns0:is>
      </ns0:c>
      <ns0:c r="I1" s="8" t="inlineStr">
        <ns0:is>
          <ns0:t>任务总时长s</ns0:t>
        </ns0:is>
      </ns0:c>
      <ns0:c r="J1" s="8" t="inlineStr">
        <ns0:is>
          <ns0:t>充电时长s</ns0:t>
        </ns0:is>
      </ns0:c>
      <ns0:c r="K1" s="8" t="inlineStr">
        <ns0:is>
          <ns0:t>访问次数</ns0:t>
        </ns0:is>
      </ns0:c>
      <ns0:c r="L1" s="8" t="inlineStr">
        <ns0:is>
          <ns0:t>箱数</ns0:t>
        </ns0:is>
      </ns0:c>
    </ns0:row>
    <ns0:row r="2" ht="25" customHeight="1">
      <ns0:c r="A2" s="2" t="inlineStr">
        <ns0:is>
          <ns0:t>Q2-0001</ns0:t>
        </ns0:is>
      </ns0:c>
      <ns0:c r="B2" s="2" t="inlineStr">
        <ns0:is>
          <ns0:t>K234f68aea25bdd05</ns0:t>
        </ns0:is>
      </ns0:c>
      <ns0:c r="C2" s="2" t="inlineStr">
        <ns0:is>
          <ns0:t>S002-WAT-02;S009-FOD-01</ns0:t>
        </ns0:is>
      </ns0:c>
      <ns0:c r="D2" s="6" t="n">
        <ns0:v>22</ns0:v>
      </ns0:c>
      <ns0:c r="E2" s="6" t="n">
        <ns0:v>0.055</ns0:v>
      </ns0:c>
      <ns0:c r="F2" s="6" t="n">
        <ns0:v>360</ns0:v>
      </ns0:c>
      <ns0:c r="G2" s="9" t="n">
        <ns0:v>0.3298848254108149</ns0:v>
      </ns0:c>
      <ns0:c r="H2" s="6" t="n">
        <ns0:v>3586.999335163041</ns0:v>
      </ns0:c>
      <ns0:c r="I2" s="6" t="n">
        <ns0:f>'Q2_运输架次'!G2-'Q2_运输架次'!E2</ns0:f>
        <ns0:v>2215.8496081970998</ns0:v>
      </ns0:c>
      <ns0:c r="J2" s="6" t="n">
        <ns0:f>H2-'Q2_运输架次'!G2</ns0:f>
        <ns0:v>1371.1497269659408</ns0:v>
      </ns0:c>
      <ns0:c r="K2" s="4" t="n">
        <ns0:v>2</ns0:v>
      </ns0:c>
      <ns0:c r="L2" s="4" t="n">
        <ns0:v>2</ns0:v>
      </ns0:c>
    </ns0:row>
    <ns0:row r="3" ht="25" customHeight="1">
      <ns0:c r="A3" s="2" t="inlineStr">
        <ns0:is>
          <ns0:t>Q2-0002</ns0:t>
        </ns0:is>
      </ns0:c>
      <ns0:c r="B3" s="2" t="inlineStr">
        <ns0:is>
          <ns0:t>K49d20eb1d5870510</ns0:t>
        </ns0:is>
      </ns0:c>
      <ns0:c r="C3" s="2" t="inlineStr">
        <ns0:is>
          <ns0:t>S001-FOD-01;S001-WAT-03</ns0:t>
        </ns0:is>
      </ns0:c>
      <ns0:c r="D3" s="6" t="n">
        <ns0:v>22</ns0:v>
      </ns0:c>
      <ns0:c r="E3" s="6" t="n">
        <ns0:v>0.055</ns0:v>
      </ns0:c>
      <ns0:c r="F3" s="6" t="n">
        <ns0:v>360</ns0:v>
      </ns0:c>
      <ns0:c r="G3" s="9" t="n">
        <ns0:v>0.715030276226206</ns0:v>
      </ns0:c>
      <ns0:c r="H3" s="6" t="n">
        <ns0:v>2121.367603649314</ns0:v>
      </ns0:c>
      <ns0:c r="I3" s="6" t="n">
        <ns0:f>'Q2_运输架次'!G3-'Q2_运输架次'!E3</ns0:f>
        <ns0:v>1250.9069627433817</ns0:v>
      </ns0:c>
      <ns0:c r="J3" s="6" t="n">
        <ns0:f>H3-'Q2_运输架次'!G3</ns0:f>
        <ns0:v>870.4606409059322</ns0:v>
      </ns0:c>
      <ns0:c r="K3" s="4" t="n">
        <ns0:v>1</ns0:v>
      </ns0:c>
      <ns0:c r="L3" s="4" t="n">
        <ns0:v>2</ns0:v>
      </ns0:c>
    </ns0:row>
    <ns0:row r="4" ht="25" customHeight="1">
      <ns0:c r="A4" s="2" t="inlineStr">
        <ns0:is>
          <ns0:t>Q2-0003</ns0:t>
        </ns0:is>
      </ns0:c>
      <ns0:c r="B4" s="2" t="inlineStr">
        <ns0:is>
          <ns0:t>K86ecc4edaf8253e9</ns0:t>
        </ns0:is>
      </ns0:c>
      <ns0:c r="C4" s="2" t="inlineStr">
        <ns0:is>
          <ns0:t>S006-MED-01;S006-WAT-03</ns0:t>
        </ns0:is>
      </ns0:c>
      <ns0:c r="D4" s="6" t="n">
        <ns0:v>17</ns0:v>
      </ns0:c>
      <ns0:c r="E4" s="6" t="n">
        <ns0:v>0.039</ns0:v>
      </ns0:c>
      <ns0:c r="F4" s="6" t="n">
        <ns0:v>360</ns0:v>
      </ns0:c>
      <ns0:c r="G4" s="9" t="n">
        <ns0:v>0.7085416141349616</ns0:v>
      </ns0:c>
      <ns0:c r="H4" s="6" t="n">
        <ns0:v>2192.372541404377</ns0:v>
      </ns0:c>
      <ns0:c r="I4" s="6" t="n">
        <ns0:f>'Q2_运输架次'!G4-'Q2_运输架次'!E4</ns0:f>
        <ns0:v>1313.4766397798276</ns0:v>
      </ns0:c>
      <ns0:c r="J4" s="6" t="n">
        <ns0:f>H4-'Q2_运输架次'!G4</ns0:f>
        <ns0:v>878.8959016245499</ns0:v>
      </ns0:c>
      <ns0:c r="K4" s="4" t="n">
        <ns0:v>1</ns0:v>
      </ns0:c>
      <ns0:c r="L4" s="4" t="n">
        <ns0:v>2</ns0:v>
      </ns0:c>
    </ns0:row>
    <ns0:row r="5" ht="25" customHeight="1">
      <ns0:c r="A5" s="2" t="inlineStr">
        <ns0:is>
          <ns0:t>Q2-0004</ns0:t>
        </ns0:is>
      </ns0:c>
      <ns0:c r="B5" s="2" t="inlineStr">
        <ns0:is>
          <ns0:t>K8d90beceb5941288</ns0:t>
        </ns0:is>
      </ns0:c>
      <ns0:c r="C5" s="2" t="inlineStr">
        <ns0:is>
          <ns0:t>S015-FOD-01;S015-MED-01;S015-WAT-01</ns0:t>
        </ns0:is>
      </ns0:c>
      <ns0:c r="D5" s="6" t="n">
        <ns0:v>25</ns0:v>
      </ns0:c>
      <ns0:c r="E5" s="6" t="n">
        <ns0:v>0.067</ns0:v>
      </ns0:c>
      <ns0:c r="F5" s="6" t="n">
        <ns0:v>390</ns0:v>
      </ns0:c>
      <ns0:c r="G5" s="9" t="n">
        <ns0:v>0.423102915726382</ns0:v>
      </ns0:c>
      <ns0:c r="H5" s="6" t="n">
        <ns0:v>3494.949172914598</ns0:v>
      </ns0:c>
      <ns0:c r="I5" s="6" t="n">
        <ns0:f>'Q2_运输架次'!G5-'Q2_运输架次'!E5</ns0:f>
        <ns0:v>1828.3275601736595</ns0:v>
      </ns0:c>
      <ns0:c r="J5" s="6" t="n">
        <ns0:f>H5-'Q2_运输架次'!G5</ns0:f>
        <ns0:v>1666.621612740938</ns0:v>
      </ns0:c>
      <ns0:c r="K5" s="4" t="n">
        <ns0:v>1</ns0:v>
      </ns0:c>
      <ns0:c r="L5" s="4" t="n">
        <ns0:v>3</ns0:v>
      </ns0:c>
    </ns0:row>
    <ns0:row r="6" ht="25" customHeight="1">
      <ns0:c r="A6" s="2" t="inlineStr">
        <ns0:is>
          <ns0:t>Q2-0005</ns0:t>
        </ns0:is>
      </ns0:c>
      <ns0:c r="B6" s="2" t="inlineStr">
        <ns0:is>
          <ns0:t>Kb6a2df3d717c6adf</ns0:t>
        </ns0:is>
      </ns0:c>
      <ns0:c r="C6" s="2" t="inlineStr">
        <ns0:is>
          <ns0:t>S006-WAT-01</ns0:t>
        </ns0:is>
      </ns0:c>
      <ns0:c r="D6" s="6" t="n">
        <ns0:v>14</ns0:v>
      </ns0:c>
      <ns0:c r="E6" s="6" t="n">
        <ns0:v>0.027</ns0:v>
      </ns0:c>
      <ns0:c r="F6" s="6" t="n">
        <ns0:v>330</ns0:v>
      </ns0:c>
      <ns0:c r="G6" s="9" t="n">
        <ns0:v>0.7334323090871047</ns0:v>
      </ns0:c>
      <ns0:c r="H6" s="6" t="n">
        <ns0:v>2275.987342283818</ns0:v>
      </ns0:c>
      <ns0:c r="I6" s="6" t="n">
        <ns0:f>'Q2_运输架次'!G6-'Q2_运输架次'!E6</ns0:f>
        <ns0:v>1147.2700113681328</ns0:v>
      </ns0:c>
      <ns0:c r="J6" s="6" t="n">
        <ns0:f>H6-'Q2_运输架次'!G6</ns0:f>
        <ns0:v>1128.7173309156854</ns0:v>
      </ns0:c>
      <ns0:c r="K6" s="4" t="n">
        <ns0:v>1</ns0:v>
      </ns0:c>
      <ns0:c r="L6" s="4" t="n">
        <ns0:v>1</ns0:v>
      </ns0:c>
    </ns0:row>
    <ns0:row r="7" ht="38" customHeight="1">
      <ns0:c r="A7" s="2" t="inlineStr">
        <ns0:is>
          <ns0:t>Q2-0006</ns0:t>
        </ns0:is>
      </ns0:c>
      <ns0:c r="B7" s="2" t="inlineStr">
        <ns0:is>
          <ns0:t>Kbde928bee685a193</ns0:t>
        </ns0:is>
      </ns0:c>
      <ns0:c r="C7" s="2" t="inlineStr">
        <ns0:is>
          <ns0:t>S001-WAT-05;S001-WAT-06;S007-FOD-01;S007-HYG-01;S007-MED-01;S007-WAT-01;S007-WAT-02</ns0:t>
        </ns0:is>
      </ns0:c>
      <ns0:c r="D7" s="6" t="n">
        <ns0:v>73</ns0:v>
      </ns0:c>
      <ns0:c r="E7" s="6" t="n">
        <ns0:v>0.183</ns0:v>
      </ns0:c>
      <ns0:c r="F7" s="6" t="n">
        <ns0:v>510</ns0:v>
      </ns0:c>
      <ns0:c r="G7" s="9" t="n">
        <ns0:v>0.3168979083781061</ns0:v>
      </ns0:c>
      <ns0:c r="H7" s="6" t="n">
        <ns0:v>4794.825616324702</ns0:v>
      </ns0:c>
      <ns0:c r="I7" s="6" t="n">
        <ns0:f>'Q2_运输架次'!G7-'Q2_运输架次'!E7</ns0:f>
        <ns0:v>2481.4377511439325</ns0:v>
      </ns0:c>
      <ns0:c r="J7" s="6" t="n">
        <ns0:f>H7-'Q2_运输架次'!G7</ns0:f>
        <ns0:v>2313.38786518077</ns0:v>
      </ns0:c>
      <ns0:c r="K7" s="4" t="n">
        <ns0:v>2</ns0:v>
      </ns0:c>
      <ns0:c r="L7" s="4" t="n">
        <ns0:v>7</ns0:v>
      </ns0:c>
    </ns0:row>
    <ns0:row r="8" ht="25" customHeight="1">
      <ns0:c r="A8" s="2" t="inlineStr">
        <ns0:is>
          <ns0:t>Q2-0007</ns0:t>
        </ns0:is>
      </ns0:c>
      <ns0:c r="B8" s="2" t="inlineStr">
        <ns0:is>
          <ns0:t>Kf88b6d53dec0792e</ns0:t>
        </ns0:is>
      </ns0:c>
      <ns0:c r="C8" s="2" t="inlineStr">
        <ns0:is>
          <ns0:t>S001-WAT-02;S013-FOD-01</ns0:t>
        </ns0:is>
      </ns0:c>
      <ns0:c r="D8" s="6" t="n">
        <ns0:v>22</ns0:v>
      </ns0:c>
      <ns0:c r="E8" s="6" t="n">
        <ns0:v>0.055</ns0:v>
      </ns0:c>
      <ns0:c r="F8" s="6" t="n">
        <ns0:v>360</ns0:v>
      </ns0:c>
      <ns0:c r="G8" s="9" t="n">
        <ns0:v>0.5125773533116813</ns0:v>
      </ns0:c>
      <ns0:c r="H8" s="6" t="n">
        <ns0:v>3037.836461660808</ns0:v>
      </ns0:c>
      <ns0:c r="I8" s="6" t="n">
        <ns0:f>'Q2_运输架次'!G8-'Q2_运输架次'!E8</ns0:f>
        <ns0:v>1904.1870209659942</ns0:v>
      </ns0:c>
      <ns0:c r="J8" s="6" t="n">
        <ns0:f>H8-'Q2_运输架次'!G8</ns0:f>
        <ns0:v>1133.649440694814</ns0:v>
      </ns0:c>
      <ns0:c r="K8" s="4" t="n">
        <ns0:v>2</ns0:v>
      </ns0:c>
      <ns0:c r="L8" s="4" t="n">
        <ns0:v>2</ns0:v>
      </ns0:c>
    </ns0:row>
    <ns0:row r="9" ht="38" customHeight="1">
      <ns0:c r="A9" s="2" t="inlineStr">
        <ns0:is>
          <ns0:t>Q2-0008</ns0:t>
        </ns0:is>
      </ns0:c>
      <ns0:c r="B9" s="2" t="inlineStr">
        <ns0:is>
          <ns0:t>Kfdb93e3bdcb02802</ns0:t>
        </ns0:is>
      </ns0:c>
      <ns0:c r="C9" s="2" t="inlineStr">
        <ns0:is>
          <ns0:t>S001-FOD-02;S001-FOD-03;S001-HYG-01;S001-HYG-02;S001-MED-01;S001-MED-02;S001-WAT-04;S001-WAT-07;S001-WAT-08</ns0:t>
        </ns0:is>
      </ns0:c>
      <ns0:c r="D9" s="6" t="n">
        <ns0:v>76</ns0:v>
      </ns0:c>
      <ns0:c r="E9" s="6" t="n">
        <ns0:v>0.231</ns0:v>
      </ns0:c>
      <ns0:c r="F9" s="6" t="n">
        <ns0:v>570</ns0:v>
      </ns0:c>
      <ns0:c r="G9" s="9" t="n">
        <ns0:v>0.6352970561860677</ns0:v>
      </ns0:c>
      <ns0:c r="H9" s="6" t="n">
        <ns0:v>3315.698090792209</ns0:v>
      </ns0:c>
      <ns0:c r="I9" s="6" t="n">
        <ns0:f>'Q2_运输架次'!G9-'Q2_运输架次'!E9</ns0:f>
        <ns0:v>1692.175045862023</ns0:v>
      </ns0:c>
      <ns0:c r="J9" s="6" t="n">
        <ns0:f>H9-'Q2_运输架次'!G9</ns0:f>
        <ns0:v>1623.5230449301864</ns0:v>
      </ns0:c>
      <ns0:c r="K9" s="4" t="n">
        <ns0:v>1</ns0:v>
      </ns0:c>
      <ns0:c r="L9" s="4" t="n">
        <ns0:v>9</ns0:v>
      </ns0:c>
    </ns0:row>
    <ns0:row r="10" ht="25" customHeight="1">
      <ns0:c r="A10" s="2" t="inlineStr">
        <ns0:is>
          <ns0:t>Q2-0009</ns0:t>
        </ns0:is>
      </ns0:c>
      <ns0:c r="B10" s="2" t="inlineStr">
        <ns0:is>
          <ns0:t>Kada50d43912b2f82</ns0:t>
        </ns0:is>
      </ns0:c>
      <ns0:c r="C10" s="2" t="inlineStr">
        <ns0:is>
          <ns0:t>S010-FOD-01;S010-MED-01;S010-WAT-01</ns0:t>
        </ns0:is>
      </ns0:c>
      <ns0:c r="D10" s="6" t="n">
        <ns0:v>25</ns0:v>
      </ns0:c>
      <ns0:c r="E10" s="6" t="n">
        <ns0:v>0.067</ns0:v>
      </ns0:c>
      <ns0:c r="F10" s="6" t="n">
        <ns0:v>1537.270011368133</ns0:v>
      </ns0:c>
      <ns0:c r="G10" s="9" t="n">
        <ns0:v>0.5441851392448921</ns0:v>
      </ns0:c>
      <ns0:c r="H10" s="6" t="n">
        <ns0:v>4159.419289790537</ns0:v>
      </ns0:c>
      <ns0:c r="I10" s="6" t="n">
        <ns0:f>'Q2_运输架次'!G10-'Q2_运输架次'!E10</ns0:f>
        <ns0:v>1555.403519780217</ns0:v>
      </ns0:c>
      <ns0:c r="J10" s="6" t="n">
        <ns0:f>H10-'Q2_运输架次'!G10</ns0:f>
        <ns0:v>1456.745758642187</ns0:v>
      </ns0:c>
      <ns0:c r="K10" s="4" t="n">
        <ns0:v>1</ns0:v>
      </ns0:c>
      <ns0:c r="L10" s="4" t="n">
        <ns0:v>3</ns0:v>
      </ns0:c>
    </ns0:row>
    <ns0:row r="11" ht="25" customHeight="1">
      <ns0:c r="A11" s="2" t="inlineStr">
        <ns0:is>
          <ns0:t>Q2-0010</ns0:t>
        </ns0:is>
      </ns0:c>
      <ns0:c r="B11" s="2" t="inlineStr">
        <ns0:is>
          <ns0:t>Kc58793d6022a6e66</ns0:t>
        </ns0:is>
      </ns0:c>
      <ns0:c r="C11" s="2" t="inlineStr">
        <ns0:is>
          <ns0:t>S014-FOD-01;S014-WAT-01</ns0:t>
        </ns0:is>
      </ns0:c>
      <ns0:c r="D11" s="6" t="n">
        <ns0:v>22</ns0:v>
      </ns0:c>
      <ns0:c r="E11" s="6" t="n">
        <ns0:v>0.055</ns0:v>
      </ns0:c>
      <ns0:c r="F11" s="6" t="n">
        <ns0:v>1610.906962743382</ns0:v>
      </ns0:c>
      <ns0:c r="G11" s="9" t="n">
        <ns0:v>0.4734608637880722</ns0:v>
      </ns0:c>
      <ns0:c r="H11" s="6" t="n">
        <ns0:v>4425.806725095637</ns0:v>
      </ns0:c>
      <ns0:c r="I11" s="6" t="n">
        <ns0:f>'Q2_运输架次'!G11-'Q2_运输架次'!E11</ns0:f>
        <ns0:v>1990.3988852767495</ns0:v>
      </ns0:c>
      <ns0:c r="J11" s="6" t="n">
        <ns0:f>H11-'Q2_运输架次'!G11</ns0:f>
        <ns0:v>1184.5008770755062</ns0:v>
      </ns0:c>
      <ns0:c r="K11" s="4" t="n">
        <ns0:v>1</ns0:v>
      </ns0:c>
      <ns0:c r="L11" s="4" t="n">
        <ns0:v>2</ns0:v>
      </ns0:c>
    </ns0:row>
    <ns0:row r="12" ht="25" customHeight="1">
      <ns0:c r="A12" s="2" t="inlineStr">
        <ns0:is>
          <ns0:t>Q2-0011</ns0:t>
        </ns0:is>
      </ns0:c>
      <ns0:c r="B12" s="2" t="inlineStr">
        <ns0:is>
          <ns0:t>K6b3a54b7674a83f9</ns0:t>
        </ns0:is>
      </ns0:c>
      <ns0:c r="C12" s="2" t="inlineStr">
        <ns0:is>
          <ns0:t>S001-WAT-01;S014-MED-01</ns0:t>
        </ns0:is>
      </ns0:c>
      <ns0:c r="D12" s="6" t="n">
        <ns0:v>17</ns0:v>
      </ns0:c>
      <ns0:c r="E12" s="6" t="n">
        <ns0:v>0.039</ns0:v>
      </ns0:c>
      <ns0:c r="F12" s="6" t="n">
        <ns0:v>1673.476639779828</ns0:v>
      </ns0:c>
      <ns0:c r="G12" s="9" t="n">
        <ns0:v>0.3856599734093685</ns0:v>
      </ns0:c>
      <ns0:c r="H12" s="6" t="n">
        <ns0:v>5059.681327557928</ns0:v>
      </ns0:c>
      <ns0:c r="I12" s="6" t="n">
        <ns0:f>'Q2_运输架次'!G12-'Q2_运输架次'!E12</ns0:f>
        <ns0:v>2447.5626532102788</ns0:v>
      </ns0:c>
      <ns0:c r="J12" s="6" t="n">
        <ns0:f>H12-'Q2_运输架次'!G12</ns0:f>
        <ns0:v>1298.6420345678216</ns0:v>
      </ns0:c>
      <ns0:c r="K12" s="4" t="n">
        <ns0:v>2</ns0:v>
      </ns0:c>
      <ns0:c r="L12" s="4" t="n">
        <ns0:v>2</ns0:v>
      </ns0:c>
    </ns0:row>
    <ns0:row r="13" ht="38" customHeight="1">
      <ns0:c r="A13" s="2" t="inlineStr">
        <ns0:is>
          <ns0:t>Q2-0012</ns0:t>
        </ns0:is>
      </ns0:c>
      <ns0:c r="B13" s="2" t="inlineStr">
        <ns0:is>
          <ns0:t>Kcb2b55c84e67d87c</ns0:t>
        </ns0:is>
      </ns0:c>
      <ns0:c r="C13" s="2" t="inlineStr">
        <ns0:is>
          <ns0:t>S002-FOD-01;S002-FOD-02;S002-HYG-01;S002-MED-01;S002-WAT-01;S002-WAT-03;S002-WAT-04</ns0:t>
        </ns0:is>
      </ns0:c>
      <ns0:c r="D13" s="6" t="n">
        <ns0:v>67</ns0:v>
      </ns0:c>
      <ns0:c r="E13" s="6" t="n">
        <ns0:v>0.184</ns0:v>
      </ns0:c>
      <ns0:c r="F13" s="6" t="n">
        <ns0:v>2202.175045862023</ns0:v>
      </ns0:c>
      <ns0:c r="G13" s="9" t="n">
        <ns0:v>0.2148736989968668</ns0:v>
      </ns0:c>
      <ns0:c r="H13" s="6" t="n">
        <ns0:v>6400.4575307267</ns0:v>
      </ns0:c>
      <ns0:c r="I13" s="6" t="n">
        <ns0:f>'Q2_运输架次'!G13-'Q2_运输架次'!E13</ns0:f>
        <ns0:v>2173.842166024555</ns0:v>
      </ns0:c>
      <ns0:c r="J13" s="6" t="n">
        <ns0:f>H13-'Q2_运输架次'!G13</ns0:f>
        <ns0:v>2534.440318840122</ns0:v>
      </ns0:c>
      <ns0:c r="K13" s="4" t="n">
        <ns0:v>1</ns0:v>
      </ns0:c>
      <ns0:c r="L13" s="4" t="n">
        <ns0:v>7</ns0:v>
      </ns0:c>
    </ns0:row>
    <ns0:row r="14" ht="25" customHeight="1">
      <ns0:c r="A14" s="2" t="inlineStr">
        <ns0:is>
          <ns0:t>Q2-0013</ns0:t>
        </ns0:is>
      </ns0:c>
      <ns0:c r="B14" s="2" t="inlineStr">
        <ns0:is>
          <ns0:t>K3b9ffe6936063ff2</ns0:t>
        </ns0:is>
      </ns0:c>
      <ns0:c r="C14" s="2" t="inlineStr">
        <ns0:is>
          <ns0:t>S012-FOD-01;S012-MED-01;S012-WAT-01</ns0:t>
        </ns0:is>
      </ns0:c>
      <ns0:c r="D14" s="6" t="n">
        <ns0:v>25</ns0:v>
      </ns0:c>
      <ns0:c r="E14" s="6" t="n">
        <ns0:v>0.067</ns0:v>
      </ns0:c>
      <ns0:c r="F14" s="6" t="n">
        <ns0:v>2218.32756017366</ns0:v>
      </ns0:c>
      <ns0:c r="G14" s="9" t="n">
        <ns0:v>0.3118389023860828</ns0:v>
      </ns0:c>
      <ns0:c r="H14" s="6" t="n">
        <ns0:v>5610.63361018697</ns0:v>
      </ns0:c>
      <ns0:c r="I14" s="6" t="n">
        <ns0:f>'Q2_运输架次'!G14-'Q2_运输架次'!E14</ns0:f>
        <ns0:v>1922.8268141491872</ns0:v>
      </ns0:c>
      <ns0:c r="J14" s="6" t="n">
        <ns0:f>H14-'Q2_运输架次'!G14</ns0:f>
        <ns0:v>1859.4792358641234</ns0:v>
      </ns0:c>
      <ns0:c r="K14" s="4" t="n">
        <ns0:v>1</ns0:v>
      </ns0:c>
      <ns0:c r="L14" s="4" t="n">
        <ns0:v>3</ns0:v>
      </ns0:c>
    </ns0:row>
    <ns0:row r="15" ht="25" customHeight="1">
      <ns0:c r="A15" s="2" t="inlineStr">
        <ns0:is>
          <ns0:t>Q2-0014</ns0:t>
        </ns0:is>
      </ns0:c>
      <ns0:c r="B15" s="2" t="inlineStr">
        <ns0:is>
          <ns0:t>Kb6718e9cd4fb8c67</ns0:t>
        </ns0:is>
      </ns0:c>
      <ns0:c r="C15" s="2" t="inlineStr">
        <ns0:is>
          <ns0:t>S013-MED-01;S013-WAT-01</ns0:t>
        </ns0:is>
      </ns0:c>
      <ns0:c r="D15" s="6" t="n">
        <ns0:v>17</ns0:v>
      </ns0:c>
      <ns0:c r="E15" s="6" t="n">
        <ns0:v>0.039</ns0:v>
      </ns0:c>
      <ns0:c r="F15" s="6" t="n">
        <ns0:v>2552.372541404377</ns0:v>
      </ns0:c>
      <ns0:c r="G15" s="9" t="n">
        <ns0:v>0.5648742932922137</ns0:v>
      </ns0:c>
      <ns0:c r="H15" s="6" t="n">
        <ns0:v>4870.198777353984</ns0:v>
      </ns0:c>
      <ns0:c r="I15" s="6" t="n">
        <ns0:f>'Q2_运输架次'!G15-'Q2_运输架次'!E15</ns0:f>
        <ns0:v>1612.1628172294845</ns0:v>
      </ns0:c>
      <ns0:c r="J15" s="6" t="n">
        <ns0:f>H15-'Q2_运输架次'!G15</ns0:f>
        <ns0:v>1065.663418720122</ns0:v>
      </ns0:c>
      <ns0:c r="K15" s="4" t="n">
        <ns0:v>1</ns0:v>
      </ns0:c>
      <ns0:c r="L15" s="4" t="n">
        <ns0:v>2</ns0:v>
      </ns0:c>
    </ns0:row>
    <ns0:row r="16" ht="25" customHeight="1">
      <ns0:c r="A16" s="2" t="inlineStr">
        <ns0:is>
          <ns0:t>Q2-0015</ns0:t>
        </ns0:is>
      </ns0:c>
      <ns0:c r="B16" s="2" t="inlineStr">
        <ns0:is>
          <ns0:t>Ka3230624ab4becb6</ns0:t>
        </ns0:is>
      </ns0:c>
      <ns0:c r="C16" s="2" t="inlineStr">
        <ns0:is>
          <ns0:t>S006-FOD-01;S006-WAT-02</ns0:t>
        </ns0:is>
      </ns0:c>
      <ns0:c r="D16" s="6" t="n">
        <ns0:v>22</ns0:v>
      </ns0:c>
      <ns0:c r="E16" s="6" t="n">
        <ns0:v>0.055</ns0:v>
      </ns0:c>
      <ns0:c r="F16" s="6" t="n">
        <ns0:v>2575.8496081971</ns0:v>
      </ns0:c>
      <ns0:c r="G16" s="9" t="n">
        <ns0:v>0.6984345204722866</ns0:v>
      </ns0:c>
      <ns0:c r="H16" s="6" t="n">
        <ns0:v>4421.361371362955</ns0:v>
      </ns0:c>
      <ns0:c r="I16" s="6" t="n">
        <ns0:f>'Q2_运输架次'!G16-'Q2_运输架次'!E16</ns0:f>
        <ns0:v>1313.4766397798276</ns0:v>
      </ns0:c>
      <ns0:c r="J16" s="6" t="n">
        <ns0:f>H16-'Q2_运输架次'!G16</ns0:f>
        <ns0:v>892.0351233860274</ns0:v>
      </ns0:c>
      <ns0:c r="K16" s="4" t="n">
        <ns0:v>1</ns0:v>
      </ns0:c>
      <ns0:c r="L16" s="4" t="n">
        <ns0:v>2</ns0:v>
      </ns0:c>
    </ns0:row>
    <ns0:row r="17" ht="25" customHeight="1">
      <ns0:c r="A17" s="2" t="inlineStr">
        <ns0:is>
          <ns0:t>Q2-0016</ns0:t>
        </ns0:is>
      </ns0:c>
      <ns0:c r="B17" s="2" t="inlineStr">
        <ns0:is>
          <ns0:t>K1eecbe2e24269c78</ns0:t>
        </ns0:is>
      </ns0:c>
      <ns0:c r="C17" s="2" t="inlineStr">
        <ns0:is>
          <ns0:t>S004-FOD-01;S004-HYG-01;S004-MED-01;S004-WAT-01;S004-WAT-02;S004-WAT-03</ns0:t>
        </ns0:is>
      </ns0:c>
      <ns0:c r="D17" s="6" t="n">
        <ns0:v>59</ns0:v>
      </ns0:c>
      <ns0:c r="E17" s="6" t="n">
        <ns0:v>0.156</ns0:v>
      </ns0:c>
      <ns0:c r="F17" s="6" t="n">
        <ns0:v>2961.437751143932</ns0:v>
      </ns0:c>
      <ns0:c r="G17" s="9" t="n">
        <ns0:v>0.2308849309656895</ns0:v>
      </ns0:c>
      <ns0:c r="H17" s="6" t="n">
        <ns0:v>7282.241786157385</ns0:v>
      </ns0:c>
      <ns0:c r="I17" s="6" t="n">
        <ns0:f>'Q2_运输架次'!G17-'Q2_运输架次'!E17</ns0:f>
        <ns0:v>2301.054718772446</ns0:v>
      </ns0:c>
      <ns0:c r="J17" s="6" t="n">
        <ns0:f>H17-'Q2_运输架次'!G17</ns0:f>
        <ns0:v>2499.7493162410065</ns0:v>
      </ns0:c>
      <ns0:c r="K17" s="4" t="n">
        <ns0:v>1</ns0:v>
      </ns0:c>
      <ns0:c r="L17" s="4" t="n">
        <ns0:v>6</ns0:v>
      </ns0:c>
    </ns0:row>
    <ns0:row r="18" ht="25" customHeight="1">
      <ns0:c r="A18" s="2" t="inlineStr">
        <ns0:is>
          <ns0:t>Q2-0017</ns0:t>
        </ns0:is>
      </ns0:c>
      <ns0:c r="B18" s="2" t="inlineStr">
        <ns0:is>
          <ns0:t>Ke8b1f3ea8c4dcb31</ns0:t>
        </ns0:is>
      </ns0:c>
      <ns0:c r="C18" s="2" t="inlineStr">
        <ns0:is>
          <ns0:t>S008-HYG-01;S008-WAT-01</ns0:t>
        </ns0:is>
      </ns0:c>
      <ns0:c r="D18" s="6" t="n">
        <ns0:v>20</ns0:v>
      </ns0:c>
      <ns0:c r="E18" s="6" t="n">
        <ns0:v>0.062</ns0:v>
      </ns0:c>
      <ns0:c r="F18" s="6" t="n">
        <ns0:v>3062.67353114835</ns0:v>
      </ns0:c>
      <ns0:c r="G18" s="9" t="n">
        <ns0:v>0.3091333217733057</ns0:v>
      </ns0:c>
      <ns0:c r="H18" s="6" t="n">
        <ns0:v>6468.684187250323</ns0:v>
      </ns0:c>
      <ns0:c r="I18" s="6" t="n">
        <ns0:f>'Q2_运输架次'!G18-'Q2_运输架次'!E18</ns0:f>
        <ns0:v>1901.841747175703</ns0:v>
      </ns0:c>
      <ns0:c r="J18" s="6" t="n">
        <ns0:f>H18-'Q2_运输架次'!G18</ns0:f>
        <ns0:v>1864.16890892627</ns0:v>
      </ns0:c>
      <ns0:c r="K18" s="4" t="n">
        <ns0:v>1</ns0:v>
      </ns0:c>
      <ns0:c r="L18" s="4" t="n">
        <ns0:v>2</ns0:v>
      </ns0:c>
    </ns0:row>
    <ns0:row r="19" ht="25" customHeight="1">
      <ns0:c r="A19" s="2" t="inlineStr">
        <ns0:is>
          <ns0:t>Q2-0018</ns0:t>
        </ns0:is>
      </ns0:c>
      <ns0:c r="B19" s="2" t="inlineStr">
        <ns0:is>
          <ns0:t>Kf69cf05829f050a0</ns0:t>
        </ns0:is>
      </ns0:c>
      <ns0:c r="C19" s="2" t="inlineStr">
        <ns0:is>
          <ns0:t>S011-MED-01;S011-WAT-01</ns0:t>
        </ns0:is>
      </ns0:c>
      <ns0:c r="D19" s="6" t="n">
        <ns0:v>17</ns0:v>
      </ns0:c>
      <ns0:c r="E19" s="6" t="n">
        <ns0:v>0.039</ns0:v>
      </ns0:c>
      <ns0:c r="F19" s="6" t="n">
        <ns0:v>4121.039292990106</ns0:v>
      </ns0:c>
      <ns0:c r="G19" s="9" t="n">
        <ns0:v>0.7439933755359807</ns0:v>
      </ns0:c>
      <ns0:c r="H19" s="6" t="n">
        <ns0:v>5815.876214732914</ns0:v>
      </ns0:c>
      <ns0:c r="I19" s="6" t="n">
        <ns0:f>'Q2_运输架次'!G19-'Q2_运输架次'!E19</ns0:f>
        <ns0:v>1222.0283099395829</ns0:v>
      </ns0:c>
      <ns0:c r="J19" s="6" t="n">
        <ns0:f>H19-'Q2_运输架次'!G19</ns0:f>
        <ns0:v>832.8086118032252</ns0:v>
      </ns0:c>
      <ns0:c r="K19" s="4" t="n">
        <ns0:v>1</ns0:v>
      </ns0:c>
      <ns0:c r="L19" s="4" t="n">
        <ns0:v>2</ns0:v>
      </ns0:c>
    </ns0:row>
    <ns0:row r="20" ht="38" customHeight="1">
      <ns0:c r="A20" s="2" t="inlineStr">
        <ns0:is>
          <ns0:t>Q2-0019</ns0:t>
        </ns0:is>
      </ns0:c>
      <ns0:c r="B20" s="2" t="inlineStr">
        <ns0:is>
          <ns0:t>K24c67b70f57e3de1</ns0:t>
        </ns0:is>
      </ns0:c>
      <ns0:c r="C20" s="2" t="inlineStr">
        <ns0:is>
          <ns0:t>S003-FOD-01;S003-FOD-02;S003-HYG-01;S003-MED-01;S003-WAT-01;S003-WAT-02;S003-WAT-04</ns0:t>
        </ns0:is>
      </ns0:c>
      <ns0:c r="D20" s="6" t="n">
        <ns0:v>67</ns0:v>
      </ns0:c>
      <ns0:c r="E20" s="6" t="n">
        <ns0:v>0.184</ns0:v>
      </ns0:c>
      <ns0:c r="F20" s="6" t="n">
        <ns0:v>4376.017211886578</ns0:v>
      </ns0:c>
      <ns0:c r="G20" s="9" t="n">
        <ns0:v>0.2094254534225881</ns0:v>
      </ns0:c>
      <ns0:c r="H20" s="6" t="n">
        <ns0:v>8914.439773903563</ns0:v>
      </ns0:c>
      <ns0:c r="I20" s="6" t="n">
        <ns0:f>'Q2_运输架次'!G20-'Q2_运输架次'!E20</ns0:f>
        <ns0:v>2502.1777110992607</ns0:v>
      </ns0:c>
      <ns0:c r="J20" s="6" t="n">
        <ns0:f>H20-'Q2_运输架次'!G20</ns0:f>
        <ns0:v>2546.2448509177248</ns0:v>
      </ns0:c>
      <ns0:c r="K20" s="4" t="n">
        <ns0:v>1</ns0:v>
      </ns0:c>
      <ns0:c r="L20" s="4" t="n">
        <ns0:v>7</ns0:v>
      </ns0:c>
    </ns0:row>
    <ns0:row r="21" ht="25" customHeight="1">
      <ns0:c r="A21" s="2" t="inlineStr">
        <ns0:is>
          <ns0:t>Q2-0020</ns0:t>
        </ns0:is>
      </ns0:c>
      <ns0:c r="B21" s="2" t="inlineStr">
        <ns0:is>
          <ns0:t>K3fb0f3b0fb31edd5</ns0:t>
        </ns0:is>
      </ns0:c>
      <ns0:c r="C21" s="2" t="inlineStr">
        <ns0:is>
          <ns0:t>S008-FOD-01;S008-MED-01;S011-FOD-01</ns0:t>
        </ns0:is>
      </ns0:c>
      <ns0:c r="D21" s="6" t="n">
        <ns0:v>19</ns0:v>
      </ns0:c>
      <ns0:c r="E21" s="6" t="n">
        <ns0:v>0.068</ns0:v>
      </ns0:c>
      <ns0:c r="F21" s="6" t="n">
        <ns0:v>4549.419289790537</ns0:v>
      </ns0:c>
      <ns0:c r="G21" s="9" t="n">
        <ns0:v>0.2950614513087987</ns0:v>
      </ns0:c>
      <ns0:c r="H21" s="6" t="n">
        <ns0:v>8253.966167910981</ns0:v>
      </ns0:c>
      <ns0:c r="I21" s="6" t="n">
        <ns0:f>'Q2_运输架次'!G21-'Q2_运输架次'!E21</ns0:f>
        <ns0:v>2205.986727055696</ns0:v>
      </ns0:c>
      <ns0:c r="J21" s="6" t="n">
        <ns0:f>H21-'Q2_运输架次'!G21</ns0:f>
        <ns0:v>1888.5601510647484</ns0:v>
      </ns0:c>
      <ns0:c r="K21" s="4" t="n">
        <ns0:v>2</ns0:v>
      </ns0:c>
      <ns0:c r="L21" s="4" t="n">
        <ns0:v>3</ns0:v>
      </ns0:c>
    </ns0:row>
    <ns0:row r="22" ht="25" customHeight="1">
      <ns0:c r="A22" s="2" t="inlineStr">
        <ns0:is>
          <ns0:t>Q2-0021</ns0:t>
        </ns0:is>
      </ns0:c>
      <ns0:c r="B22" s="2" t="inlineStr">
        <ns0:is>
          <ns0:t>Kf070b5a7acc18989</ns0:t>
        </ns0:is>
      </ns0:c>
      <ns0:c r="C22" s="2" t="inlineStr">
        <ns0:is>
          <ns0:t>S003-WAT-03</ns0:t>
        </ns0:is>
      </ns0:c>
      <ns0:c r="D22" s="6" t="n">
        <ns0:v>14</ns0:v>
      </ns0:c>
      <ns0:c r="E22" s="6" t="n">
        <ns0:v>0.027</ns0:v>
      </ns0:c>
      <ns0:c r="F22" s="6" t="n">
        <ns0:v>4751.361371362955</ns0:v>
      </ns0:c>
      <ns0:c r="G22" s="9" t="n">
        <ns0:v>0.3484985958877531</ns0:v>
      </ns0:c>
      <ns0:c r="H22" s="6" t="n">
        <ns0:v>7971.050427339136</ns0:v>
      </ns0:c>
      <ns0:c r="I22" s="6" t="n">
        <ns0:f>'Q2_运输架次'!G22-'Q2_运输架次'!E22</ns0:f>
        <ns0:v>2202.7372306302605</ns0:v>
      </ns0:c>
      <ns0:c r="J22" s="6" t="n">
        <ns0:f>H22-'Q2_运输架次'!G22</ns0:f>
        <ns0:v>1346.951825345921</ns0:v>
      </ns0:c>
      <ns0:c r="K22" s="4" t="n">
        <ns0:v>1</ns0:v>
      </ns0:c>
      <ns0:c r="L22" s="4" t="n">
        <ns0:v>1</ns0:v>
      </ns0:c>
    </ns0:row>
    <ns0:row r="23" ht="25" customHeight="1">
      <ns0:c r="A23" s="2" t="inlineStr">
        <ns0:is>
          <ns0:t>Q2-0022</ns0:t>
        </ns0:is>
      </ns0:c>
      <ns0:c r="B23" s="2" t="inlineStr">
        <ns0:is>
          <ns0:t>Kfdef76b3351026f5</ns0:t>
        </ns0:is>
      </ns0:c>
      <ns0:c r="C23" s="2" t="inlineStr">
        <ns0:is>
          <ns0:t>S008-WAT-02</ns0:t>
        </ns0:is>
      </ns0:c>
      <ns0:c r="D23" s="6" t="n">
        <ns0:v>14</ns0:v>
      </ns0:c>
      <ns0:c r="E23" s="6" t="n">
        <ns0:v>0.027</ns0:v>
      </ns0:c>
      <ns0:c r="F23" s="6" t="n">
        <ns0:v>4934.515278324053</ns0:v>
      </ns0:c>
      <ns0:c r="G23" s="9" t="n">
        <ns0:v>0.3526575353904851</ns0:v>
      </ns0:c>
      <ns0:c r="H23" s="6" t="n">
        <ns0:v>8235.083964156249</ns0:v>
      </ns0:c>
      <ns0:c r="I23" s="6" t="n">
        <ns0:f>'Q2_运输架次'!G23-'Q2_运输架次'!E23</ns0:f>
        <ns0:v>1841.841747175703</ns0:v>
      </ns0:c>
      <ns0:c r="J23" s="6" t="n">
        <ns0:f>H23-'Q2_运输架次'!G23</ns0:f>
        <ns0:v>1788.726938656493</ns0:v>
      </ns0:c>
      <ns0:c r="K23" s="4" t="n">
        <ns0:v>1</ns0:v>
      </ns0:c>
      <ns0:c r="L23" s="4" t="n">
        <ns0:v>1</ns0:v>
      </ns0:c>
    </ns0:row>
    <ns0:row r="24" ht="25" customHeight="1">
      <ns0:c r="A24" s="2" t="inlineStr">
        <ns0:is>
          <ns0:t>Q2-0023</ns0:t>
        </ns0:is>
      </ns0:c>
      <ns0:c r="B24" s="2" t="inlineStr">
        <ns0:is>
          <ns0:t>K1b4069e1511c59e5</ns0:t>
        </ns0:is>
      </ns0:c>
      <ns0:c r="C24" s="2" t="inlineStr">
        <ns0:is>
          <ns0:t>S005-FOD-01;S005-HYG-01;S005-MED-01;S005-WAT-01;S005-WAT-02;S005-WAT-03</ns0:t>
        </ns0:is>
      </ns0:c>
      <ns0:c r="D24" s="6" t="n">
        <ns0:v>59</ns0:v>
      </ns0:c>
      <ns0:c r="E24" s="6" t="n">
        <ns0:v>0.156</ns0:v>
      </ns0:c>
      <ns0:c r="F24" s="6" t="n">
        <ns0:v>5274.825616324702</ns0:v>
      </ns0:c>
      <ns0:c r="G24" s="9" t="n">
        <ns0:v>0.4722272063009803</ns0:v>
      </ns0:c>
      <ns0:c r="H24" s="6" t="n">
        <ns0:v>8648.855384830717</ns0:v>
      </ns0:c>
      <ns0:c r="I24" s="6" t="n">
        <ns0:f>'Q2_运输架次'!G24-'Q2_运输架次'!E24</ns0:f>
        <ns0:v>1877.1887154914712</ns0:v>
      </ns0:c>
      <ns0:c r="J24" s="6" t="n">
        <ns0:f>H24-'Q2_运输架次'!G24</ns0:f>
        <ns0:v>1976.841053014543</ns0:v>
      </ns0:c>
      <ns0:c r="K24" s="4" t="n">
        <ns0:v>1</ns0:v>
      </ns0:c>
      <ns0:c r="L24" s="4" t="n">
        <ns0:v>6</ns0:v>
      </ns0:c>
    </ns0:row>
    <ns0:row r="25" ht="25" customHeight="1">
      <ns0:c r="A25" s="2" t="inlineStr">
        <ns0:is>
          <ns0:t>Q2-0024</ns0:t>
        </ns0:is>
      </ns0:c>
      <ns0:c r="B25" s="2" t="inlineStr">
        <ns0:is>
          <ns0:t>K371497d7436d81a7</ns0:t>
        </ns0:is>
      </ns0:c>
      <ns0:c r="C25" s="2" t="inlineStr">
        <ns0:is>
          <ns0:t>S009-MED-01;S009-WAT-01</ns0:t>
        </ns0:is>
      </ns0:c>
      <ns0:c r="D25" s="6" t="n">
        <ns0:v>17</ns0:v>
      </ns0:c>
      <ns0:c r="E25" s="6" t="n">
        <ns0:v>0.039</ns0:v>
      </ns0:c>
      <ns0:c r="F25" s="6" t="n">
        <ns0:v>5230.198777353984</ns0:v>
      </ns0:c>
      <ns0:c r="G25" s="9" t="n">
        <ns0:v>0.4989147649661857</ns0:v>
      </ns0:c>
      <ns0:c r="H25" s="6" t="n">
        <ns0:v>7710.249228786268</ns0:v>
      </ns0:c>
      <ns0:c r="I25" s="6" t="n">
        <ns0:f>'Q2_运输架次'!G25-'Q2_运输架次'!E25</ns0:f>
        <ns0:v>1688.6396458883246</ns0:v>
      </ns0:c>
      <ns0:c r="J25" s="6" t="n">
        <ns0:f>H25-'Q2_运输架次'!G25</ns0:f>
        <ns0:v>1151.4108055439592</ns0:v>
      </ns0:c>
      <ns0:c r="K25" s="4" t="n">
        <ns0:v>1</ns0:v>
      </ns0:c>
      <ns0:c r="L25" s="4" t="n">
        <ns0:v>2</ns0:v>
      </ns0:c>
    </ns0:row>
    <ns0:row r="26" ht="25" customHeight="1">
      <ns0:c r="A26" s="2" t="inlineStr">
        <ns0:is>
          <ns0:t>Q2-0025</ns0:t>
        </ns0:is>
      </ns0:c>
      <ns0:c r="B26" s="2" t="inlineStr">
        <ns0:is>
          <ns0:t>K213f1ba15c404878</ns0:t>
        </ns0:is>
      </ns0:c>
      <ns0:c r="C26" s="2" t="inlineStr">
        <ns0:is>
          <ns0:t>S006-HYG-01</ns0:t>
        </ns0:is>
      </ns0:c>
      <ns0:c r="D26" s="6" t="n">
        <ns0:v>6</ns0:v>
      </ns0:c>
      <ns0:c r="E26" s="6" t="n">
        <ns0:v>0.035</ns0:v>
      </ns0:c>
      <ns0:c r="F26" s="6" t="n">
        <ns0:v>5389.681327557928</ns0:v>
      </ns0:c>
      <ns0:c r="G26" s="9" t="n">
        <ns0:v>0.7237765573523063</ns0:v>
      </ns0:c>
      <ns0:c r="H26" s="6" t="n">
        <ns0:v>7172.248442779757</ns0:v>
      </ns0:c>
      <ns0:c r="I26" s="6" t="n">
        <ns0:f>'Q2_运输架次'!G26-'Q2_运输架次'!E26</ns0:f>
        <ns0:v>1253.4766397798276</ns0:v>
      </ns0:c>
      <ns0:c r="J26" s="6" t="n">
        <ns0:f>H26-'Q2_运输架次'!G26</ns0:f>
        <ns0:v>859.0904754420017</ns0:v>
      </ns0:c>
      <ns0:c r="K26" s="4" t="n">
        <ns0:v>1</ns0:v>
      </ns0:c>
      <ns0:c r="L26" s="4" t="n">
        <ns0:v>1</ns0:v>
      </ns0:c>
    </ns0:row>
  </ns0:sheetData>
  <ns0:autoFilter ref="A1:L26"/>
  <ns0:pageMargins left="0.75" right="0.75" top="1" bottom="1" header="0.5" footer="0.5"/>
  <ns0:pageSetup orientation="landscape" paperSize="8" fitToHeight="0" fitToWidth="1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P81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8" customWidth="1" min="3" max="3"/>
    <ns0:col width="21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  <ns0:col width="18" customWidth="1" min="16" max="16"/>
  </ns0:cols>
  <ns0:sheetData>
    <ns0:row r="1" ht="38" customHeight="1">
      <ns0:c r="A1" s="8" t="inlineStr">
        <ns0:is>
          <ns0:t>货箱编号</ns0:t>
        </ns0:is>
      </ns0:c>
      <ns0:c r="B1" s="8" t="inlineStr">
        <ns0:is>
          <ns0:t>架次编号</ns0:t>
        </ns0:is>
      </ns0:c>
      <ns0:c r="C1" s="8" t="inlineStr">
        <ns0:is>
          <ns0:t>服务区编号</ns0:t>
        </ns0:is>
      </ns0:c>
      <ns0:c r="D1" s="8" t="inlineStr">
        <ns0:is>
          <ns0:t>物资类型</ns0:t>
        </ns0:is>
      </ns0:c>
      <ns0:c r="E1" s="8" t="inlineStr">
        <ns0:is>
          <ns0:t>交付完成时刻s</ns0:t>
        </ns0:is>
      </ns0:c>
      <ns0:c r="F1" s="8" t="inlineStr">
        <ns0:is>
          <ns0:t>期望时刻s</ns0:t>
        </ns0:is>
      </ns0:c>
      <ns0:c r="G1" s="8" t="inlineStr">
        <ns0:is>
          <ns0:t>硬时限</ns0:t>
        </ns0:is>
      </ns0:c>
      <ns0:c r="H1" s="8" t="inlineStr">
        <ns0:is>
          <ns0:t>适用截止时刻s</ns0:t>
        </ns0:is>
      </ns0:c>
      <ns0:c r="I1" s="8" t="inlineStr">
        <ns0:is>
          <ns0:t>首批保障</ns0:t>
        </ns0:is>
      </ns0:c>
      <ns0:c r="J1" s="8" t="inlineStr">
        <ns0:is>
          <ns0:t>优先系数</ns0:t>
        </ns0:is>
      </ns0:c>
      <ns0:c r="K1" s="8" t="inlineStr">
        <ns0:is>
          <ns0:t>时限裕度s</ns0:t>
        </ns0:is>
      </ns0:c>
      <ns0:c r="L1" s="8" t="inlineStr">
        <ns0:is>
          <ns0:t>迟到量s</ns0:t>
        </ns0:is>
      </ns0:c>
      <ns0:c r="M1" s="8" t="inlineStr">
        <ns0:is>
          <ns0:t>软箱优先系数</ns0:t>
        </ns0:is>
      </ns0:c>
      <ns0:c r="N1" s="8" t="inlineStr">
        <ns0:is>
          <ns0:t>软箱加权迟到s</ns0:t>
        </ns0:is>
      </ns0:c>
      <ns0:c r="O1" s="8" t="inlineStr">
        <ns0:is>
          <ns0:t>非医疗优先系数</ns0:t>
        </ns0:is>
      </ns0:c>
      <ns0:c r="P1" s="8" t="inlineStr">
        <ns0:is>
          <ns0:t>医疗标记</ns0:t>
        </ns0:is>
      </ns0:c>
    </ns0:row>
    <ns0:row r="2" ht="25" customHeight="1">
      <ns0:c r="A2" s="2" t="inlineStr">
        <ns0:is>
          <ns0:t>S001-FOD-01</ns0:t>
        </ns0:is>
      </ns0:c>
      <ns0:c r="B2" s="2" t="inlineStr">
        <ns0:is>
          <ns0:t>Q2-0002</ns0:t>
        </ns0:is>
      </ns0:c>
      <ns0:c r="C2" s="2" t="inlineStr">
        <ns0:is>
          <ns0:t>S001</ns0:t>
        </ns0:is>
      </ns0:c>
      <ns0:c r="D2" s="2" t="inlineStr">
        <ns0:is>
          <ns0:t>应急食品</ns0:t>
        </ns0:is>
      </ns0:c>
      <ns0:c r="E2" s="6" t="n">
        <ns0:f>'Q2_逐箱交付'!D2</ns0:f>
        <ns0:v>908.5768147050242</ns0:v>
      </ns0:c>
      <ns0:c r="F2" s="6" t="n">
        <ns0:v>7200</ns0:v>
      </ns0:c>
      <ns0:c r="G2" s="7" t="b">
        <ns0:v>0</ns0:v>
      </ns0:c>
      <ns0:c r="H2" s="7" t="n"/>
      <ns0:c r="I2" s="7" t="b">
        <ns0:v>0</ns0:v>
      </ns0:c>
      <ns0:c r="J2" s="6" t="n">
        <ns0:v>10</ns0:v>
      </ns0:c>
      <ns0:c r="K2" s="6" t="str">
        <ns0:f>IF(G2,H2-E2,"")</ns0:f>
        <ns0:v/>
      </ns0:c>
      <ns0:c r="L2" s="6" t="n">
        <ns0:f>MAX(0,E2-F2)</ns0:f>
        <ns0:v>0.0</ns0:v>
      </ns0:c>
      <ns0:c r="M2" s="6" t="n">
        <ns0:f>IF(G2,0,J2)</ns0:f>
        <ns0:v>10.0</ns0:v>
      </ns0:c>
      <ns0:c r="N2" s="6" t="n">
        <ns0:f>M2*L2</ns0:f>
        <ns0:v>0.0</ns0:v>
      </ns0:c>
      <ns0:c r="O2" s="6" t="n">
        <ns0:f>IF(P2,0,J2)</ns0:f>
        <ns0:v>10.0</ns0:v>
      </ns0:c>
      <ns0:c r="P2" s="7" t="b">
        <ns0:v>0</ns0:v>
      </ns0:c>
    </ns0:row>
    <ns0:row r="3" ht="25" customHeight="1">
      <ns0:c r="A3" s="2" t="inlineStr">
        <ns0:is>
          <ns0:t>S001-FOD-02</ns0:t>
        </ns0:is>
      </ns0:c>
      <ns0:c r="B3" s="2" t="inlineStr">
        <ns0:is>
          <ns0:t>Q2-0008</ns0:t>
        </ns0:is>
      </ns0:c>
      <ns0:c r="C3" s="2" t="inlineStr">
        <ns0:is>
          <ns0:t>S001</ns0:t>
        </ns0:is>
      </ns0:c>
      <ns0:c r="D3" s="2" t="inlineStr">
        <ns0:is>
          <ns0:t>应急食品</ns0:t>
        </ns0:is>
      </ns0:c>
      <ns0:c r="E3" s="6" t="n">
        <ns0:f>'Q2_逐箱交付'!D3</ns0:f>
        <ns0:v>1380.2725229310115</ns0:v>
      </ns0:c>
      <ns0:c r="F3" s="6" t="n">
        <ns0:v>7200</ns0:v>
      </ns0:c>
      <ns0:c r="G3" s="7" t="b">
        <ns0:v>0</ns0:v>
      </ns0:c>
      <ns0:c r="H3" s="7" t="n"/>
      <ns0:c r="I3" s="7" t="b">
        <ns0:v>0</ns0:v>
      </ns0:c>
      <ns0:c r="J3" s="6" t="n">
        <ns0:v>10</ns0:v>
      </ns0:c>
      <ns0:c r="K3" s="6" t="str">
        <ns0:f>IF(G3,H3-E3,"")</ns0:f>
        <ns0:v/>
      </ns0:c>
      <ns0:c r="L3" s="6" t="n">
        <ns0:f>MAX(0,E3-F3)</ns0:f>
        <ns0:v>0.0</ns0:v>
      </ns0:c>
      <ns0:c r="M3" s="6" t="n">
        <ns0:f>IF(G3,0,J3)</ns0:f>
        <ns0:v>10.0</ns0:v>
      </ns0:c>
      <ns0:c r="N3" s="6" t="n">
        <ns0:f>M3*L3</ns0:f>
        <ns0:v>0.0</ns0:v>
      </ns0:c>
      <ns0:c r="O3" s="6" t="n">
        <ns0:f>IF(P3,0,J3)</ns0:f>
        <ns0:v>10.0</ns0:v>
      </ns0:c>
      <ns0:c r="P3" s="7" t="b">
        <ns0:v>0</ns0:v>
      </ns0:c>
    </ns0:row>
    <ns0:row r="4" ht="25" customHeight="1">
      <ns0:c r="A4" s="2" t="inlineStr">
        <ns0:is>
          <ns0:t>S001-FOD-03</ns0:t>
        </ns0:is>
      </ns0:c>
      <ns0:c r="B4" s="2" t="inlineStr">
        <ns0:is>
          <ns0:t>Q2-0008</ns0:t>
        </ns0:is>
      </ns0:c>
      <ns0:c r="C4" s="2" t="inlineStr">
        <ns0:is>
          <ns0:t>S001</ns0:t>
        </ns0:is>
      </ns0:c>
      <ns0:c r="D4" s="2" t="inlineStr">
        <ns0:is>
          <ns0:t>应急食品</ns0:t>
        </ns0:is>
      </ns0:c>
      <ns0:c r="E4" s="6" t="n">
        <ns0:f>'Q2_逐箱交付'!D4</ns0:f>
        <ns0:v>1380.2725229310115</ns0:v>
      </ns0:c>
      <ns0:c r="F4" s="6" t="n">
        <ns0:v>7200</ns0:v>
      </ns0:c>
      <ns0:c r="G4" s="7" t="b">
        <ns0:v>0</ns0:v>
      </ns0:c>
      <ns0:c r="H4" s="7" t="n"/>
      <ns0:c r="I4" s="7" t="b">
        <ns0:v>0</ns0:v>
      </ns0:c>
      <ns0:c r="J4" s="6" t="n">
        <ns0:v>10</ns0:v>
      </ns0:c>
      <ns0:c r="K4" s="6" t="str">
        <ns0:f>IF(G4,H4-E4,"")</ns0:f>
        <ns0:v/>
      </ns0:c>
      <ns0:c r="L4" s="6" t="n">
        <ns0:f>MAX(0,E4-F4)</ns0:f>
        <ns0:v>0.0</ns0:v>
      </ns0:c>
      <ns0:c r="M4" s="6" t="n">
        <ns0:f>IF(G4,0,J4)</ns0:f>
        <ns0:v>10.0</ns0:v>
      </ns0:c>
      <ns0:c r="N4" s="6" t="n">
        <ns0:f>M4*L4</ns0:f>
        <ns0:v>0.0</ns0:v>
      </ns0:c>
      <ns0:c r="O4" s="6" t="n">
        <ns0:f>IF(P4,0,J4)</ns0:f>
        <ns0:v>10.0</ns0:v>
      </ns0:c>
      <ns0:c r="P4" s="7" t="b">
        <ns0:v>0</ns0:v>
      </ns0:c>
    </ns0:row>
    <ns0:row r="5" ht="25" customHeight="1">
      <ns0:c r="A5" s="2" t="inlineStr">
        <ns0:is>
          <ns0:t>S001-HYG-01</ns0:t>
        </ns0:is>
      </ns0:c>
      <ns0:c r="B5" s="2" t="inlineStr">
        <ns0:is>
          <ns0:t>Q2-0008</ns0:t>
        </ns0:is>
      </ns0:c>
      <ns0:c r="C5" s="2" t="inlineStr">
        <ns0:is>
          <ns0:t>S001</ns0:t>
        </ns0:is>
      </ns0:c>
      <ns0:c r="D5" s="2" t="inlineStr">
        <ns0:is>
          <ns0:t>生活卫生用品</ns0:t>
        </ns0:is>
      </ns0:c>
      <ns0:c r="E5" s="6" t="n">
        <ns0:f>'Q2_逐箱交付'!D5</ns0:f>
        <ns0:v>1380.2725229310115</ns0:v>
      </ns0:c>
      <ns0:c r="F5" s="6" t="n">
        <ns0:v>10800</ns0:v>
      </ns0:c>
      <ns0:c r="G5" s="7" t="b">
        <ns0:v>0</ns0:v>
      </ns0:c>
      <ns0:c r="H5" s="7" t="n"/>
      <ns0:c r="I5" s="7" t="b">
        <ns0:v>0</ns0:v>
      </ns0:c>
      <ns0:c r="J5" s="6" t="n">
        <ns0:v>8</ns0:v>
      </ns0:c>
      <ns0:c r="K5" s="6" t="str">
        <ns0:f>IF(G5,H5-E5,"")</ns0:f>
        <ns0:v/>
      </ns0:c>
      <ns0:c r="L5" s="6" t="n">
        <ns0:f>MAX(0,E5-F5)</ns0:f>
        <ns0:v>0.0</ns0:v>
      </ns0:c>
      <ns0:c r="M5" s="6" t="n">
        <ns0:f>IF(G5,0,J5)</ns0:f>
        <ns0:v>8.0</ns0:v>
      </ns0:c>
      <ns0:c r="N5" s="6" t="n">
        <ns0:f>M5*L5</ns0:f>
        <ns0:v>0.0</ns0:v>
      </ns0:c>
      <ns0:c r="O5" s="6" t="n">
        <ns0:f>IF(P5,0,J5)</ns0:f>
        <ns0:v>8.0</ns0:v>
      </ns0:c>
      <ns0:c r="P5" s="7" t="b">
        <ns0:v>0</ns0:v>
      </ns0:c>
    </ns0:row>
    <ns0:row r="6" ht="25" customHeight="1">
      <ns0:c r="A6" s="2" t="inlineStr">
        <ns0:is>
          <ns0:t>S001-HYG-02</ns0:t>
        </ns0:is>
      </ns0:c>
      <ns0:c r="B6" s="2" t="inlineStr">
        <ns0:is>
          <ns0:t>Q2-0008</ns0:t>
        </ns0:is>
      </ns0:c>
      <ns0:c r="C6" s="2" t="inlineStr">
        <ns0:is>
          <ns0:t>S001</ns0:t>
        </ns0:is>
      </ns0:c>
      <ns0:c r="D6" s="2" t="inlineStr">
        <ns0:is>
          <ns0:t>生活卫生用品</ns0:t>
        </ns0:is>
      </ns0:c>
      <ns0:c r="E6" s="6" t="n">
        <ns0:f>'Q2_逐箱交付'!D6</ns0:f>
        <ns0:v>1380.2725229310115</ns0:v>
      </ns0:c>
      <ns0:c r="F6" s="6" t="n">
        <ns0:v>10800</ns0:v>
      </ns0:c>
      <ns0:c r="G6" s="7" t="b">
        <ns0:v>0</ns0:v>
      </ns0:c>
      <ns0:c r="H6" s="7" t="n"/>
      <ns0:c r="I6" s="7" t="b">
        <ns0:v>0</ns0:v>
      </ns0:c>
      <ns0:c r="J6" s="6" t="n">
        <ns0:v>8</ns0:v>
      </ns0:c>
      <ns0:c r="K6" s="6" t="str">
        <ns0:f>IF(G6,H6-E6,"")</ns0:f>
        <ns0:v/>
      </ns0:c>
      <ns0:c r="L6" s="6" t="n">
        <ns0:f>MAX(0,E6-F6)</ns0:f>
        <ns0:v>0.0</ns0:v>
      </ns0:c>
      <ns0:c r="M6" s="6" t="n">
        <ns0:f>IF(G6,0,J6)</ns0:f>
        <ns0:v>8.0</ns0:v>
      </ns0:c>
      <ns0:c r="N6" s="6" t="n">
        <ns0:f>M6*L6</ns0:f>
        <ns0:v>0.0</ns0:v>
      </ns0:c>
      <ns0:c r="O6" s="6" t="n">
        <ns0:f>IF(P6,0,J6)</ns0:f>
        <ns0:v>8.0</ns0:v>
      </ns0:c>
      <ns0:c r="P6" s="7" t="b">
        <ns0:v>0</ns0:v>
      </ns0:c>
    </ns0:row>
    <ns0:row r="7" ht="25" customHeight="1">
      <ns0:c r="A7" s="2" t="inlineStr">
        <ns0:is>
          <ns0:t>S001-MED-01</ns0:t>
        </ns0:is>
      </ns0:c>
      <ns0:c r="B7" s="2" t="inlineStr">
        <ns0:is>
          <ns0:t>Q2-0008</ns0:t>
        </ns0:is>
      </ns0:c>
      <ns0:c r="C7" s="2" t="inlineStr">
        <ns0:is>
          <ns0:t>S001</ns0:t>
        </ns0:is>
      </ns0:c>
      <ns0:c r="D7" s="2" t="inlineStr">
        <ns0:is>
          <ns0:t>医疗物资</ns0:t>
        </ns0:is>
      </ns0:c>
      <ns0:c r="E7" s="6" t="n">
        <ns0:f>'Q2_逐箱交付'!D7</ns0:f>
        <ns0:v>1380.2725229310115</ns0:v>
      </ns0:c>
      <ns0:c r="F7" s="6" t="n">
        <ns0:v>3600</ns0:v>
      </ns0:c>
      <ns0:c r="G7" s="7" t="b">
        <ns0:v>1</ns0:v>
      </ns0:c>
      <ns0:c r="H7" s="6" t="n">
        <ns0:v>3600</ns0:v>
      </ns0:c>
      <ns0:c r="I7" s="7" t="b">
        <ns0:v>1</ns0:v>
      </ns0:c>
      <ns0:c r="J7" s="6" t="n">
        <ns0:v>24</ns0:v>
      </ns0:c>
      <ns0:c r="K7" s="6" t="n">
        <ns0:f>IF(G7,H7-E7,"")</ns0:f>
        <ns0:v>2219.7274770689883</ns0:v>
      </ns0:c>
      <ns0:c r="L7" s="6" t="n">
        <ns0:f>MAX(0,E7-F7)</ns0:f>
        <ns0:v>0.0</ns0:v>
      </ns0:c>
      <ns0:c r="M7" s="6" t="n">
        <ns0:f>IF(G7,0,J7)</ns0:f>
        <ns0:v>0.0</ns0:v>
      </ns0:c>
      <ns0:c r="N7" s="6" t="n">
        <ns0:f>M7*L7</ns0:f>
        <ns0:v>0.0</ns0:v>
      </ns0:c>
      <ns0:c r="O7" s="6" t="n">
        <ns0:f>IF(P7,0,J7)</ns0:f>
        <ns0:v>0.0</ns0:v>
      </ns0:c>
      <ns0:c r="P7" s="7" t="b">
        <ns0:v>1</ns0:v>
      </ns0:c>
    </ns0:row>
    <ns0:row r="8" ht="25" customHeight="1">
      <ns0:c r="A8" s="2" t="inlineStr">
        <ns0:is>
          <ns0:t>S001-MED-02</ns0:t>
        </ns0:is>
      </ns0:c>
      <ns0:c r="B8" s="2" t="inlineStr">
        <ns0:is>
          <ns0:t>Q2-0008</ns0:t>
        </ns0:is>
      </ns0:c>
      <ns0:c r="C8" s="2" t="inlineStr">
        <ns0:is>
          <ns0:t>S001</ns0:t>
        </ns0:is>
      </ns0:c>
      <ns0:c r="D8" s="2" t="inlineStr">
        <ns0:is>
          <ns0:t>医疗物资</ns0:t>
        </ns0:is>
      </ns0:c>
      <ns0:c r="E8" s="6" t="n">
        <ns0:f>'Q2_逐箱交付'!D8</ns0:f>
        <ns0:v>1380.2725229310115</ns0:v>
      </ns0:c>
      <ns0:c r="F8" s="6" t="n">
        <ns0:v>3600</ns0:v>
      </ns0:c>
      <ns0:c r="G8" s="7" t="b">
        <ns0:v>1</ns0:v>
      </ns0:c>
      <ns0:c r="H8" s="6" t="n">
        <ns0:v>3600</ns0:v>
      </ns0:c>
      <ns0:c r="I8" s="7" t="b">
        <ns0:v>0</ns0:v>
      </ns0:c>
      <ns0:c r="J8" s="6" t="n">
        <ns0:v>24</ns0:v>
      </ns0:c>
      <ns0:c r="K8" s="6" t="n">
        <ns0:f>IF(G8,H8-E8,"")</ns0:f>
        <ns0:v>2219.7274770689883</ns0:v>
      </ns0:c>
      <ns0:c r="L8" s="6" t="n">
        <ns0:f>MAX(0,E8-F8)</ns0:f>
        <ns0:v>0.0</ns0:v>
      </ns0:c>
      <ns0:c r="M8" s="6" t="n">
        <ns0:f>IF(G8,0,J8)</ns0:f>
        <ns0:v>0.0</ns0:v>
      </ns0:c>
      <ns0:c r="N8" s="6" t="n">
        <ns0:f>M8*L8</ns0:f>
        <ns0:v>0.0</ns0:v>
      </ns0:c>
      <ns0:c r="O8" s="6" t="n">
        <ns0:f>IF(P8,0,J8)</ns0:f>
        <ns0:v>0.0</ns0:v>
      </ns0:c>
      <ns0:c r="P8" s="7" t="b">
        <ns0:v>1</ns0:v>
      </ns0:c>
    </ns0:row>
    <ns0:row r="9" ht="25" customHeight="1">
      <ns0:c r="A9" s="2" t="inlineStr">
        <ns0:is>
          <ns0:t>S001-WAT-01</ns0:t>
        </ns0:is>
      </ns0:c>
      <ns0:c r="B9" s="2" t="inlineStr">
        <ns0:is>
          <ns0:t>Q2-0011</ns0:t>
        </ns0:is>
      </ns0:c>
      <ns0:c r="C9" s="2" t="inlineStr">
        <ns0:is>
          <ns0:t>S001</ns0:t>
        </ns0:is>
      </ns0:c>
      <ns0:c r="D9" s="2" t="inlineStr">
        <ns0:is>
          <ns0:t>饮用水</ns0:t>
        </ns0:is>
      </ns0:c>
      <ns0:c r="E9" s="6" t="n">
        <ns0:f>'Q2_逐箱交付'!D9</ns0:f>
        <ns0:v>2192.0534544848515</ns0:v>
      </ns0:c>
      <ns0:c r="F9" s="6" t="n">
        <ns0:v>3600</ns0:v>
      </ns0:c>
      <ns0:c r="G9" s="7" t="b">
        <ns0:v>1</ns0:v>
      </ns0:c>
      <ns0:c r="H9" s="6" t="n">
        <ns0:v>3600</ns0:v>
      </ns0:c>
      <ns0:c r="I9" s="7" t="b">
        <ns0:v>1</ns0:v>
      </ns0:c>
      <ns0:c r="J9" s="6" t="n">
        <ns0:v>12</ns0:v>
      </ns0:c>
      <ns0:c r="K9" s="6" t="n">
        <ns0:f>IF(G9,H9-E9,"")</ns0:f>
        <ns0:v>1407.9465455151485</ns0:v>
      </ns0:c>
      <ns0:c r="L9" s="6" t="n">
        <ns0:f>MAX(0,E9-F9)</ns0:f>
        <ns0:v>0.0</ns0:v>
      </ns0:c>
      <ns0:c r="M9" s="6" t="n">
        <ns0:f>IF(G9,0,J9)</ns0:f>
        <ns0:v>0.0</ns0:v>
      </ns0:c>
      <ns0:c r="N9" s="6" t="n">
        <ns0:f>M9*L9</ns0:f>
        <ns0:v>0.0</ns0:v>
      </ns0:c>
      <ns0:c r="O9" s="6" t="n">
        <ns0:f>IF(P9,0,J9)</ns0:f>
        <ns0:v>12.0</ns0:v>
      </ns0:c>
      <ns0:c r="P9" s="7" t="b">
        <ns0:v>0</ns0:v>
      </ns0:c>
    </ns0:row>
    <ns0:row r="10" ht="25" customHeight="1">
      <ns0:c r="A10" s="2" t="inlineStr">
        <ns0:is>
          <ns0:t>S001-WAT-02</ns0:t>
        </ns0:is>
      </ns0:c>
      <ns0:c r="B10" s="2" t="inlineStr">
        <ns0:is>
          <ns0:t>Q2-0007</ns0:t>
        </ns0:is>
      </ns0:c>
      <ns0:c r="C10" s="2" t="inlineStr">
        <ns0:is>
          <ns0:t>S001</ns0:t>
        </ns0:is>
      </ns0:c>
      <ns0:c r="D10" s="2" t="inlineStr">
        <ns0:is>
          <ns0:t>饮用水</ns0:t>
        </ns0:is>
      </ns0:c>
      <ns0:c r="E10" s="6" t="n">
        <ns0:f>'Q2_逐箱交付'!D10</ns0:f>
        <ns0:v>878.5768147050242</ns0:v>
      </ns0:c>
      <ns0:c r="F10" s="6" t="n">
        <ns0:v>3600</ns0:v>
      </ns0:c>
      <ns0:c r="G10" s="7" t="b">
        <ns0:v>0</ns0:v>
      </ns0:c>
      <ns0:c r="H10" s="7" t="n"/>
      <ns0:c r="I10" s="7" t="b">
        <ns0:v>0</ns0:v>
      </ns0:c>
      <ns0:c r="J10" s="6" t="n">
        <ns0:v>12</ns0:v>
      </ns0:c>
      <ns0:c r="K10" s="6" t="str">
        <ns0:f>IF(G10,H10-E10,"")</ns0:f>
        <ns0:v/>
      </ns0:c>
      <ns0:c r="L10" s="6" t="n">
        <ns0:f>MAX(0,E10-F10)</ns0:f>
        <ns0:v>0.0</ns0:v>
      </ns0:c>
      <ns0:c r="M10" s="6" t="n">
        <ns0:f>IF(G10,0,J10)</ns0:f>
        <ns0:v>12.0</ns0:v>
      </ns0:c>
      <ns0:c r="N10" s="6" t="n">
        <ns0:f>M10*L10</ns0:f>
        <ns0:v>0.0</ns0:v>
      </ns0:c>
      <ns0:c r="O10" s="6" t="n">
        <ns0:f>IF(P10,0,J10)</ns0:f>
        <ns0:v>12.0</ns0:v>
      </ns0:c>
      <ns0:c r="P10" s="7" t="b">
        <ns0:v>0</ns0:v>
      </ns0:c>
    </ns0:row>
    <ns0:row r="11" ht="25" customHeight="1">
      <ns0:c r="A11" s="2" t="inlineStr">
        <ns0:is>
          <ns0:t>S001-WAT-03</ns0:t>
        </ns0:is>
      </ns0:c>
      <ns0:c r="B11" s="2" t="inlineStr">
        <ns0:is>
          <ns0:t>Q2-0002</ns0:t>
        </ns0:is>
      </ns0:c>
      <ns0:c r="C11" s="2" t="inlineStr">
        <ns0:is>
          <ns0:t>S001</ns0:t>
        </ns0:is>
      </ns0:c>
      <ns0:c r="D11" s="2" t="inlineStr">
        <ns0:is>
          <ns0:t>饮用水</ns0:t>
        </ns0:is>
      </ns0:c>
      <ns0:c r="E11" s="6" t="n">
        <ns0:f>'Q2_逐箱交付'!D11</ns0:f>
        <ns0:v>908.5768147050242</ns0:v>
      </ns0:c>
      <ns0:c r="F11" s="6" t="n">
        <ns0:v>3600</ns0:v>
      </ns0:c>
      <ns0:c r="G11" s="7" t="b">
        <ns0:v>0</ns0:v>
      </ns0:c>
      <ns0:c r="H11" s="7" t="n"/>
      <ns0:c r="I11" s="7" t="b">
        <ns0:v>0</ns0:v>
      </ns0:c>
      <ns0:c r="J11" s="6" t="n">
        <ns0:v>12</ns0:v>
      </ns0:c>
      <ns0:c r="K11" s="6" t="str">
        <ns0:f>IF(G11,H11-E11,"")</ns0:f>
        <ns0:v/>
      </ns0:c>
      <ns0:c r="L11" s="6" t="n">
        <ns0:f>MAX(0,E11-F11)</ns0:f>
        <ns0:v>0.0</ns0:v>
      </ns0:c>
      <ns0:c r="M11" s="6" t="n">
        <ns0:f>IF(G11,0,J11)</ns0:f>
        <ns0:v>12.0</ns0:v>
      </ns0:c>
      <ns0:c r="N11" s="6" t="n">
        <ns0:f>M11*L11</ns0:f>
        <ns0:v>0.0</ns0:v>
      </ns0:c>
      <ns0:c r="O11" s="6" t="n">
        <ns0:f>IF(P11,0,J11)</ns0:f>
        <ns0:v>12.0</ns0:v>
      </ns0:c>
      <ns0:c r="P11" s="7" t="b">
        <ns0:v>0</ns0:v>
      </ns0:c>
    </ns0:row>
    <ns0:row r="12" ht="25" customHeight="1">
      <ns0:c r="A12" s="2" t="inlineStr">
        <ns0:is>
          <ns0:t>S001-WAT-04</ns0:t>
        </ns0:is>
      </ns0:c>
      <ns0:c r="B12" s="2" t="inlineStr">
        <ns0:is>
          <ns0:t>Q2-0008</ns0:t>
        </ns0:is>
      </ns0:c>
      <ns0:c r="C12" s="2" t="inlineStr">
        <ns0:is>
          <ns0:t>S001</ns0:t>
        </ns0:is>
      </ns0:c>
      <ns0:c r="D12" s="2" t="inlineStr">
        <ns0:is>
          <ns0:t>饮用水</ns0:t>
        </ns0:is>
      </ns0:c>
      <ns0:c r="E12" s="6" t="n">
        <ns0:f>'Q2_逐箱交付'!D12</ns0:f>
        <ns0:v>1380.2725229310115</ns0:v>
      </ns0:c>
      <ns0:c r="F12" s="6" t="n">
        <ns0:v>3600</ns0:v>
      </ns0:c>
      <ns0:c r="G12" s="7" t="b">
        <ns0:v>0</ns0:v>
      </ns0:c>
      <ns0:c r="H12" s="7" t="n"/>
      <ns0:c r="I12" s="7" t="b">
        <ns0:v>0</ns0:v>
      </ns0:c>
      <ns0:c r="J12" s="6" t="n">
        <ns0:v>12</ns0:v>
      </ns0:c>
      <ns0:c r="K12" s="6" t="str">
        <ns0:f>IF(G12,H12-E12,"")</ns0:f>
        <ns0:v/>
      </ns0:c>
      <ns0:c r="L12" s="6" t="n">
        <ns0:f>MAX(0,E12-F12)</ns0:f>
        <ns0:v>0.0</ns0:v>
      </ns0:c>
      <ns0:c r="M12" s="6" t="n">
        <ns0:f>IF(G12,0,J12)</ns0:f>
        <ns0:v>12.0</ns0:v>
      </ns0:c>
      <ns0:c r="N12" s="6" t="n">
        <ns0:f>M12*L12</ns0:f>
        <ns0:v>0.0</ns0:v>
      </ns0:c>
      <ns0:c r="O12" s="6" t="n">
        <ns0:f>IF(P12,0,J12)</ns0:f>
        <ns0:v>12.0</ns0:v>
      </ns0:c>
      <ns0:c r="P12" s="7" t="b">
        <ns0:v>0</ns0:v>
      </ns0:c>
    </ns0:row>
    <ns0:row r="13" ht="25" customHeight="1">
      <ns0:c r="A13" s="2" t="inlineStr">
        <ns0:is>
          <ns0:t>S001-WAT-05</ns0:t>
        </ns0:is>
      </ns0:c>
      <ns0:c r="B13" s="2" t="inlineStr">
        <ns0:is>
          <ns0:t>Q2-0006</ns0:t>
        </ns0:is>
      </ns0:c>
      <ns0:c r="C13" s="2" t="inlineStr">
        <ns0:is>
          <ns0:t>S001</ns0:t>
        </ns0:is>
      </ns0:c>
      <ns0:c r="D13" s="2" t="inlineStr">
        <ns0:is>
          <ns0:t>饮用水</ns0:t>
        </ns0:is>
      </ns0:c>
      <ns0:c r="E13" s="6" t="n">
        <ns0:f>'Q2_逐箱交付'!D13</ns0:f>
        <ns0:v>1068.2725229310115</ns0:v>
      </ns0:c>
      <ns0:c r="F13" s="6" t="n">
        <ns0:v>3600</ns0:v>
      </ns0:c>
      <ns0:c r="G13" s="7" t="b">
        <ns0:v>0</ns0:v>
      </ns0:c>
      <ns0:c r="H13" s="7" t="n"/>
      <ns0:c r="I13" s="7" t="b">
        <ns0:v>0</ns0:v>
      </ns0:c>
      <ns0:c r="J13" s="6" t="n">
        <ns0:v>12</ns0:v>
      </ns0:c>
      <ns0:c r="K13" s="6" t="str">
        <ns0:f>IF(G13,H13-E13,"")</ns0:f>
        <ns0:v/>
      </ns0:c>
      <ns0:c r="L13" s="6" t="n">
        <ns0:f>MAX(0,E13-F13)</ns0:f>
        <ns0:v>0.0</ns0:v>
      </ns0:c>
      <ns0:c r="M13" s="6" t="n">
        <ns0:f>IF(G13,0,J13)</ns0:f>
        <ns0:v>12.0</ns0:v>
      </ns0:c>
      <ns0:c r="N13" s="6" t="n">
        <ns0:f>M13*L13</ns0:f>
        <ns0:v>0.0</ns0:v>
      </ns0:c>
      <ns0:c r="O13" s="6" t="n">
        <ns0:f>IF(P13,0,J13)</ns0:f>
        <ns0:v>12.0</ns0:v>
      </ns0:c>
      <ns0:c r="P13" s="7" t="b">
        <ns0:v>0</ns0:v>
      </ns0:c>
    </ns0:row>
    <ns0:row r="14" ht="25" customHeight="1">
      <ns0:c r="A14" s="2" t="inlineStr">
        <ns0:is>
          <ns0:t>S001-WAT-06</ns0:t>
        </ns0:is>
      </ns0:c>
      <ns0:c r="B14" s="2" t="inlineStr">
        <ns0:is>
          <ns0:t>Q2-0006</ns0:t>
        </ns0:is>
      </ns0:c>
      <ns0:c r="C14" s="2" t="inlineStr">
        <ns0:is>
          <ns0:t>S001</ns0:t>
        </ns0:is>
      </ns0:c>
      <ns0:c r="D14" s="2" t="inlineStr">
        <ns0:is>
          <ns0:t>饮用水</ns0:t>
        </ns0:is>
      </ns0:c>
      <ns0:c r="E14" s="6" t="n">
        <ns0:f>'Q2_逐箱交付'!D14</ns0:f>
        <ns0:v>1068.2725229310115</ns0:v>
      </ns0:c>
      <ns0:c r="F14" s="6" t="n">
        <ns0:v>3600</ns0:v>
      </ns0:c>
      <ns0:c r="G14" s="7" t="b">
        <ns0:v>0</ns0:v>
      </ns0:c>
      <ns0:c r="H14" s="7" t="n"/>
      <ns0:c r="I14" s="7" t="b">
        <ns0:v>0</ns0:v>
      </ns0:c>
      <ns0:c r="J14" s="6" t="n">
        <ns0:v>12</ns0:v>
      </ns0:c>
      <ns0:c r="K14" s="6" t="str">
        <ns0:f>IF(G14,H14-E14,"")</ns0:f>
        <ns0:v/>
      </ns0:c>
      <ns0:c r="L14" s="6" t="n">
        <ns0:f>MAX(0,E14-F14)</ns0:f>
        <ns0:v>0.0</ns0:v>
      </ns0:c>
      <ns0:c r="M14" s="6" t="n">
        <ns0:f>IF(G14,0,J14)</ns0:f>
        <ns0:v>12.0</ns0:v>
      </ns0:c>
      <ns0:c r="N14" s="6" t="n">
        <ns0:f>M14*L14</ns0:f>
        <ns0:v>0.0</ns0:v>
      </ns0:c>
      <ns0:c r="O14" s="6" t="n">
        <ns0:f>IF(P14,0,J14)</ns0:f>
        <ns0:v>12.0</ns0:v>
      </ns0:c>
      <ns0:c r="P14" s="7" t="b">
        <ns0:v>0</ns0:v>
      </ns0:c>
    </ns0:row>
    <ns0:row r="15" ht="25" customHeight="1">
      <ns0:c r="A15" s="2" t="inlineStr">
        <ns0:is>
          <ns0:t>S001-WAT-07</ns0:t>
        </ns0:is>
      </ns0:c>
      <ns0:c r="B15" s="2" t="inlineStr">
        <ns0:is>
          <ns0:t>Q2-0008</ns0:t>
        </ns0:is>
      </ns0:c>
      <ns0:c r="C15" s="2" t="inlineStr">
        <ns0:is>
          <ns0:t>S001</ns0:t>
        </ns0:is>
      </ns0:c>
      <ns0:c r="D15" s="2" t="inlineStr">
        <ns0:is>
          <ns0:t>饮用水</ns0:t>
        </ns0:is>
      </ns0:c>
      <ns0:c r="E15" s="6" t="n">
        <ns0:f>'Q2_逐箱交付'!D15</ns0:f>
        <ns0:v>1380.2725229310115</ns0:v>
      </ns0:c>
      <ns0:c r="F15" s="6" t="n">
        <ns0:v>3600</ns0:v>
      </ns0:c>
      <ns0:c r="G15" s="7" t="b">
        <ns0:v>0</ns0:v>
      </ns0:c>
      <ns0:c r="H15" s="7" t="n"/>
      <ns0:c r="I15" s="7" t="b">
        <ns0:v>0</ns0:v>
      </ns0:c>
      <ns0:c r="J15" s="6" t="n">
        <ns0:v>12</ns0:v>
      </ns0:c>
      <ns0:c r="K15" s="6" t="str">
        <ns0:f>IF(G15,H15-E15,"")</ns0:f>
        <ns0:v/>
      </ns0:c>
      <ns0:c r="L15" s="6" t="n">
        <ns0:f>MAX(0,E15-F15)</ns0:f>
        <ns0:v>0.0</ns0:v>
      </ns0:c>
      <ns0:c r="M15" s="6" t="n">
        <ns0:f>IF(G15,0,J15)</ns0:f>
        <ns0:v>12.0</ns0:v>
      </ns0:c>
      <ns0:c r="N15" s="6" t="n">
        <ns0:f>M15*L15</ns0:f>
        <ns0:v>0.0</ns0:v>
      </ns0:c>
      <ns0:c r="O15" s="6" t="n">
        <ns0:f>IF(P15,0,J15)</ns0:f>
        <ns0:v>12.0</ns0:v>
      </ns0:c>
      <ns0:c r="P15" s="7" t="b">
        <ns0:v>0</ns0:v>
      </ns0:c>
    </ns0:row>
    <ns0:row r="16" ht="25" customHeight="1">
      <ns0:c r="A16" s="2" t="inlineStr">
        <ns0:is>
          <ns0:t>S001-WAT-08</ns0:t>
        </ns0:is>
      </ns0:c>
      <ns0:c r="B16" s="2" t="inlineStr">
        <ns0:is>
          <ns0:t>Q2-0008</ns0:t>
        </ns0:is>
      </ns0:c>
      <ns0:c r="C16" s="2" t="inlineStr">
        <ns0:is>
          <ns0:t>S001</ns0:t>
        </ns0:is>
      </ns0:c>
      <ns0:c r="D16" s="2" t="inlineStr">
        <ns0:is>
          <ns0:t>饮用水</ns0:t>
        </ns0:is>
      </ns0:c>
      <ns0:c r="E16" s="6" t="n">
        <ns0:f>'Q2_逐箱交付'!D16</ns0:f>
        <ns0:v>1380.2725229310115</ns0:v>
      </ns0:c>
      <ns0:c r="F16" s="6" t="n">
        <ns0:v>3600</ns0:v>
      </ns0:c>
      <ns0:c r="G16" s="7" t="b">
        <ns0:v>0</ns0:v>
      </ns0:c>
      <ns0:c r="H16" s="7" t="n"/>
      <ns0:c r="I16" s="7" t="b">
        <ns0:v>0</ns0:v>
      </ns0:c>
      <ns0:c r="J16" s="6" t="n">
        <ns0:v>12</ns0:v>
      </ns0:c>
      <ns0:c r="K16" s="6" t="str">
        <ns0:f>IF(G16,H16-E16,"")</ns0:f>
        <ns0:v/>
      </ns0:c>
      <ns0:c r="L16" s="6" t="n">
        <ns0:f>MAX(0,E16-F16)</ns0:f>
        <ns0:v>0.0</ns0:v>
      </ns0:c>
      <ns0:c r="M16" s="6" t="n">
        <ns0:f>IF(G16,0,J16)</ns0:f>
        <ns0:v>12.0</ns0:v>
      </ns0:c>
      <ns0:c r="N16" s="6" t="n">
        <ns0:f>M16*L16</ns0:f>
        <ns0:v>0.0</ns0:v>
      </ns0:c>
      <ns0:c r="O16" s="6" t="n">
        <ns0:f>IF(P16,0,J16)</ns0:f>
        <ns0:v>12.0</ns0:v>
      </ns0:c>
      <ns0:c r="P16" s="7" t="b">
        <ns0:v>0</ns0:v>
      </ns0:c>
    </ns0:row>
    <ns0:row r="17" ht="25" customHeight="1">
      <ns0:c r="A17" s="2" t="inlineStr">
        <ns0:is>
          <ns0:t>S002-FOD-01</ns0:t>
        </ns0:is>
      </ns0:c>
      <ns0:c r="B17" s="2" t="inlineStr">
        <ns0:is>
          <ns0:t>Q2-0012</ns0:t>
        </ns0:is>
      </ns0:c>
      <ns0:c r="C17" s="2" t="inlineStr">
        <ns0:is>
          <ns0:t>S002</ns0:t>
        </ns0:is>
      </ns0:c>
      <ns0:c r="D17" s="2" t="inlineStr">
        <ns0:is>
          <ns0:t>应急食品</ns0:t>
        </ns0:is>
      </ns0:c>
      <ns0:c r="E17" s="6" t="n">
        <ns0:f>'Q2_逐箱交付'!D17</ns0:f>
        <ns0:v>3245.5061288743</ns0:v>
      </ns0:c>
      <ns0:c r="F17" s="6" t="n">
        <ns0:v>7200</ns0:v>
      </ns0:c>
      <ns0:c r="G17" s="7" t="b">
        <ns0:v>0</ns0:v>
      </ns0:c>
      <ns0:c r="H17" s="7" t="n"/>
      <ns0:c r="I17" s="7" t="b">
        <ns0:v>0</ns0:v>
      </ns0:c>
      <ns0:c r="J17" s="6" t="n">
        <ns0:v>10</ns0:v>
      </ns0:c>
      <ns0:c r="K17" s="6" t="str">
        <ns0:f>IF(G17,H17-E17,"")</ns0:f>
        <ns0:v/>
      </ns0:c>
      <ns0:c r="L17" s="6" t="n">
        <ns0:f>MAX(0,E17-F17)</ns0:f>
        <ns0:v>0.0</ns0:v>
      </ns0:c>
      <ns0:c r="M17" s="6" t="n">
        <ns0:f>IF(G17,0,J17)</ns0:f>
        <ns0:v>10.0</ns0:v>
      </ns0:c>
      <ns0:c r="N17" s="6" t="n">
        <ns0:f>M17*L17</ns0:f>
        <ns0:v>0.0</ns0:v>
      </ns0:c>
      <ns0:c r="O17" s="6" t="n">
        <ns0:f>IF(P17,0,J17)</ns0:f>
        <ns0:v>10.0</ns0:v>
      </ns0:c>
      <ns0:c r="P17" s="7" t="b">
        <ns0:v>0</ns0:v>
      </ns0:c>
    </ns0:row>
    <ns0:row r="18" ht="25" customHeight="1">
      <ns0:c r="A18" s="2" t="inlineStr">
        <ns0:is>
          <ns0:t>S002-FOD-02</ns0:t>
        </ns0:is>
      </ns0:c>
      <ns0:c r="B18" s="2" t="inlineStr">
        <ns0:is>
          <ns0:t>Q2-0012</ns0:t>
        </ns0:is>
      </ns0:c>
      <ns0:c r="C18" s="2" t="inlineStr">
        <ns0:is>
          <ns0:t>S002</ns0:t>
        </ns0:is>
      </ns0:c>
      <ns0:c r="D18" s="2" t="inlineStr">
        <ns0:is>
          <ns0:t>应急食品</ns0:t>
        </ns0:is>
      </ns0:c>
      <ns0:c r="E18" s="6" t="n">
        <ns0:f>'Q2_逐箱交付'!D18</ns0:f>
        <ns0:v>3245.5061288743</ns0:v>
      </ns0:c>
      <ns0:c r="F18" s="6" t="n">
        <ns0:v>7200</ns0:v>
      </ns0:c>
      <ns0:c r="G18" s="7" t="b">
        <ns0:v>0</ns0:v>
      </ns0:c>
      <ns0:c r="H18" s="7" t="n"/>
      <ns0:c r="I18" s="7" t="b">
        <ns0:v>0</ns0:v>
      </ns0:c>
      <ns0:c r="J18" s="6" t="n">
        <ns0:v>10</ns0:v>
      </ns0:c>
      <ns0:c r="K18" s="6" t="str">
        <ns0:f>IF(G18,H18-E18,"")</ns0:f>
        <ns0:v/>
      </ns0:c>
      <ns0:c r="L18" s="6" t="n">
        <ns0:f>MAX(0,E18-F18)</ns0:f>
        <ns0:v>0.0</ns0:v>
      </ns0:c>
      <ns0:c r="M18" s="6" t="n">
        <ns0:f>IF(G18,0,J18)</ns0:f>
        <ns0:v>10.0</ns0:v>
      </ns0:c>
      <ns0:c r="N18" s="6" t="n">
        <ns0:f>M18*L18</ns0:f>
        <ns0:v>0.0</ns0:v>
      </ns0:c>
      <ns0:c r="O18" s="6" t="n">
        <ns0:f>IF(P18,0,J18)</ns0:f>
        <ns0:v>10.0</ns0:v>
      </ns0:c>
      <ns0:c r="P18" s="7" t="b">
        <ns0:v>0</ns0:v>
      </ns0:c>
    </ns0:row>
    <ns0:row r="19" ht="25" customHeight="1">
      <ns0:c r="A19" s="2" t="inlineStr">
        <ns0:is>
          <ns0:t>S002-HYG-01</ns0:t>
        </ns0:is>
      </ns0:c>
      <ns0:c r="B19" s="2" t="inlineStr">
        <ns0:is>
          <ns0:t>Q2-0012</ns0:t>
        </ns0:is>
      </ns0:c>
      <ns0:c r="C19" s="2" t="inlineStr">
        <ns0:is>
          <ns0:t>S002</ns0:t>
        </ns0:is>
      </ns0:c>
      <ns0:c r="D19" s="2" t="inlineStr">
        <ns0:is>
          <ns0:t>生活卫生用品</ns0:t>
        </ns0:is>
      </ns0:c>
      <ns0:c r="E19" s="6" t="n">
        <ns0:f>'Q2_逐箱交付'!D19</ns0:f>
        <ns0:v>3245.5061288743</ns0:v>
      </ns0:c>
      <ns0:c r="F19" s="6" t="n">
        <ns0:v>10800</ns0:v>
      </ns0:c>
      <ns0:c r="G19" s="7" t="b">
        <ns0:v>0</ns0:v>
      </ns0:c>
      <ns0:c r="H19" s="7" t="n"/>
      <ns0:c r="I19" s="7" t="b">
        <ns0:v>0</ns0:v>
      </ns0:c>
      <ns0:c r="J19" s="6" t="n">
        <ns0:v>8</ns0:v>
      </ns0:c>
      <ns0:c r="K19" s="6" t="str">
        <ns0:f>IF(G19,H19-E19,"")</ns0:f>
        <ns0:v/>
      </ns0:c>
      <ns0:c r="L19" s="6" t="n">
        <ns0:f>MAX(0,E19-F19)</ns0:f>
        <ns0:v>0.0</ns0:v>
      </ns0:c>
      <ns0:c r="M19" s="6" t="n">
        <ns0:f>IF(G19,0,J19)</ns0:f>
        <ns0:v>8.0</ns0:v>
      </ns0:c>
      <ns0:c r="N19" s="6" t="n">
        <ns0:f>M19*L19</ns0:f>
        <ns0:v>0.0</ns0:v>
      </ns0:c>
      <ns0:c r="O19" s="6" t="n">
        <ns0:f>IF(P19,0,J19)</ns0:f>
        <ns0:v>8.0</ns0:v>
      </ns0:c>
      <ns0:c r="P19" s="7" t="b">
        <ns0:v>0</ns0:v>
      </ns0:c>
    </ns0:row>
    <ns0:row r="20" ht="25" customHeight="1">
      <ns0:c r="A20" s="2" t="inlineStr">
        <ns0:is>
          <ns0:t>S002-MED-01</ns0:t>
        </ns0:is>
      </ns0:c>
      <ns0:c r="B20" s="2" t="inlineStr">
        <ns0:is>
          <ns0:t>Q2-0012</ns0:t>
        </ns0:is>
      </ns0:c>
      <ns0:c r="C20" s="2" t="inlineStr">
        <ns0:is>
          <ns0:t>S002</ns0:t>
        </ns0:is>
      </ns0:c>
      <ns0:c r="D20" s="2" t="inlineStr">
        <ns0:is>
          <ns0:t>医疗物资</ns0:t>
        </ns0:is>
      </ns0:c>
      <ns0:c r="E20" s="6" t="n">
        <ns0:f>'Q2_逐箱交付'!D20</ns0:f>
        <ns0:v>3245.5061288743</ns0:v>
      </ns0:c>
      <ns0:c r="F20" s="6" t="n">
        <ns0:v>3600</ns0:v>
      </ns0:c>
      <ns0:c r="G20" s="7" t="b">
        <ns0:v>1</ns0:v>
      </ns0:c>
      <ns0:c r="H20" s="6" t="n">
        <ns0:v>3600</ns0:v>
      </ns0:c>
      <ns0:c r="I20" s="7" t="b">
        <ns0:v>1</ns0:v>
      </ns0:c>
      <ns0:c r="J20" s="6" t="n">
        <ns0:v>24</ns0:v>
      </ns0:c>
      <ns0:c r="K20" s="6" t="n">
        <ns0:f>IF(G20,H20-E20,"")</ns0:f>
        <ns0:v>354.4938711257</ns0:v>
      </ns0:c>
      <ns0:c r="L20" s="6" t="n">
        <ns0:f>MAX(0,E20-F20)</ns0:f>
        <ns0:v>0.0</ns0:v>
      </ns0:c>
      <ns0:c r="M20" s="6" t="n">
        <ns0:f>IF(G20,0,J20)</ns0:f>
        <ns0:v>0.0</ns0:v>
      </ns0:c>
      <ns0:c r="N20" s="6" t="n">
        <ns0:f>M20*L20</ns0:f>
        <ns0:v>0.0</ns0:v>
      </ns0:c>
      <ns0:c r="O20" s="6" t="n">
        <ns0:f>IF(P20,0,J20)</ns0:f>
        <ns0:v>0.0</ns0:v>
      </ns0:c>
      <ns0:c r="P20" s="7" t="b">
        <ns0:v>1</ns0:v>
      </ns0:c>
    </ns0:row>
    <ns0:row r="21" ht="25" customHeight="1">
      <ns0:c r="A21" s="2" t="inlineStr">
        <ns0:is>
          <ns0:t>S002-WAT-01</ns0:t>
        </ns0:is>
      </ns0:c>
      <ns0:c r="B21" s="2" t="inlineStr">
        <ns0:is>
          <ns0:t>Q2-0012</ns0:t>
        </ns0:is>
      </ns0:c>
      <ns0:c r="C21" s="2" t="inlineStr">
        <ns0:is>
          <ns0:t>S002</ns0:t>
        </ns0:is>
      </ns0:c>
      <ns0:c r="D21" s="2" t="inlineStr">
        <ns0:is>
          <ns0:t>饮用水</ns0:t>
        </ns0:is>
      </ns0:c>
      <ns0:c r="E21" s="6" t="n">
        <ns0:f>'Q2_逐箱交付'!D21</ns0:f>
        <ns0:v>3245.5061288743</ns0:v>
      </ns0:c>
      <ns0:c r="F21" s="6" t="n">
        <ns0:v>3600</ns0:v>
      </ns0:c>
      <ns0:c r="G21" s="7" t="b">
        <ns0:v>1</ns0:v>
      </ns0:c>
      <ns0:c r="H21" s="6" t="n">
        <ns0:v>3600</ns0:v>
      </ns0:c>
      <ns0:c r="I21" s="7" t="b">
        <ns0:v>1</ns0:v>
      </ns0:c>
      <ns0:c r="J21" s="6" t="n">
        <ns0:v>12</ns0:v>
      </ns0:c>
      <ns0:c r="K21" s="6" t="n">
        <ns0:f>IF(G21,H21-E21,"")</ns0:f>
        <ns0:v>354.4938711257</ns0:v>
      </ns0:c>
      <ns0:c r="L21" s="6" t="n">
        <ns0:f>MAX(0,E21-F21)</ns0:f>
        <ns0:v>0.0</ns0:v>
      </ns0:c>
      <ns0:c r="M21" s="6" t="n">
        <ns0:f>IF(G21,0,J21)</ns0:f>
        <ns0:v>0.0</ns0:v>
      </ns0:c>
      <ns0:c r="N21" s="6" t="n">
        <ns0:f>M21*L21</ns0:f>
        <ns0:v>0.0</ns0:v>
      </ns0:c>
      <ns0:c r="O21" s="6" t="n">
        <ns0:f>IF(P21,0,J21)</ns0:f>
        <ns0:v>12.0</ns0:v>
      </ns0:c>
      <ns0:c r="P21" s="7" t="b">
        <ns0:v>0</ns0:v>
      </ns0:c>
    </ns0:row>
    <ns0:row r="22" ht="25" customHeight="1">
      <ns0:c r="A22" s="2" t="inlineStr">
        <ns0:is>
          <ns0:t>S002-WAT-02</ns0:t>
        </ns0:is>
      </ns0:c>
      <ns0:c r="B22" s="2" t="inlineStr">
        <ns0:is>
          <ns0:t>Q2-0001</ns0:t>
        </ns0:is>
      </ns0:c>
      <ns0:c r="C22" s="2" t="inlineStr">
        <ns0:is>
          <ns0:t>S002</ns0:t>
        </ns0:is>
      </ns0:c>
      <ns0:c r="D22" s="2" t="inlineStr">
        <ns0:is>
          <ns0:t>饮用水</ns0:t>
        </ns0:is>
      </ns0:c>
      <ns0:c r="E22" s="6" t="n">
        <ns0:f>'Q2_逐箱交付'!D22</ns0:f>
        <ns0:v>1495.9020039739898</ns0:v>
      </ns0:c>
      <ns0:c r="F22" s="6" t="n">
        <ns0:v>3600</ns0:v>
      </ns0:c>
      <ns0:c r="G22" s="7" t="b">
        <ns0:v>0</ns0:v>
      </ns0:c>
      <ns0:c r="H22" s="7" t="n"/>
      <ns0:c r="I22" s="7" t="b">
        <ns0:v>0</ns0:v>
      </ns0:c>
      <ns0:c r="J22" s="6" t="n">
        <ns0:v>12</ns0:v>
      </ns0:c>
      <ns0:c r="K22" s="6" t="str">
        <ns0:f>IF(G22,H22-E22,"")</ns0:f>
        <ns0:v/>
      </ns0:c>
      <ns0:c r="L22" s="6" t="n">
        <ns0:f>MAX(0,E22-F22)</ns0:f>
        <ns0:v>0.0</ns0:v>
      </ns0:c>
      <ns0:c r="M22" s="6" t="n">
        <ns0:f>IF(G22,0,J22)</ns0:f>
        <ns0:v>12.0</ns0:v>
      </ns0:c>
      <ns0:c r="N22" s="6" t="n">
        <ns0:f>M22*L22</ns0:f>
        <ns0:v>0.0</ns0:v>
      </ns0:c>
      <ns0:c r="O22" s="6" t="n">
        <ns0:f>IF(P22,0,J22)</ns0:f>
        <ns0:v>12.0</ns0:v>
      </ns0:c>
      <ns0:c r="P22" s="7" t="b">
        <ns0:v>0</ns0:v>
      </ns0:c>
    </ns0:row>
    <ns0:row r="23" ht="25" customHeight="1">
      <ns0:c r="A23" s="2" t="inlineStr">
        <ns0:is>
          <ns0:t>S002-WAT-03</ns0:t>
        </ns0:is>
      </ns0:c>
      <ns0:c r="B23" s="2" t="inlineStr">
        <ns0:is>
          <ns0:t>Q2-0012</ns0:t>
        </ns0:is>
      </ns0:c>
      <ns0:c r="C23" s="2" t="inlineStr">
        <ns0:is>
          <ns0:t>S002</ns0:t>
        </ns0:is>
      </ns0:c>
      <ns0:c r="D23" s="2" t="inlineStr">
        <ns0:is>
          <ns0:t>饮用水</ns0:t>
        </ns0:is>
      </ns0:c>
      <ns0:c r="E23" s="6" t="n">
        <ns0:f>'Q2_逐箱交付'!D23</ns0:f>
        <ns0:v>3245.5061288743</ns0:v>
      </ns0:c>
      <ns0:c r="F23" s="6" t="n">
        <ns0:v>3600</ns0:v>
      </ns0:c>
      <ns0:c r="G23" s="7" t="b">
        <ns0:v>0</ns0:v>
      </ns0:c>
      <ns0:c r="H23" s="7" t="n"/>
      <ns0:c r="I23" s="7" t="b">
        <ns0:v>0</ns0:v>
      </ns0:c>
      <ns0:c r="J23" s="6" t="n">
        <ns0:v>12</ns0:v>
      </ns0:c>
      <ns0:c r="K23" s="6" t="str">
        <ns0:f>IF(G23,H23-E23,"")</ns0:f>
        <ns0:v/>
      </ns0:c>
      <ns0:c r="L23" s="6" t="n">
        <ns0:f>MAX(0,E23-F23)</ns0:f>
        <ns0:v>0.0</ns0:v>
      </ns0:c>
      <ns0:c r="M23" s="6" t="n">
        <ns0:f>IF(G23,0,J23)</ns0:f>
        <ns0:v>12.0</ns0:v>
      </ns0:c>
      <ns0:c r="N23" s="6" t="n">
        <ns0:f>M23*L23</ns0:f>
        <ns0:v>0.0</ns0:v>
      </ns0:c>
      <ns0:c r="O23" s="6" t="n">
        <ns0:f>IF(P23,0,J23)</ns0:f>
        <ns0:v>12.0</ns0:v>
      </ns0:c>
      <ns0:c r="P23" s="7" t="b">
        <ns0:v>0</ns0:v>
      </ns0:c>
    </ns0:row>
    <ns0:row r="24" ht="25" customHeight="1">
      <ns0:c r="A24" s="2" t="inlineStr">
        <ns0:is>
          <ns0:t>S002-WAT-04</ns0:t>
        </ns0:is>
      </ns0:c>
      <ns0:c r="B24" s="2" t="inlineStr">
        <ns0:is>
          <ns0:t>Q2-0012</ns0:t>
        </ns0:is>
      </ns0:c>
      <ns0:c r="C24" s="2" t="inlineStr">
        <ns0:is>
          <ns0:t>S002</ns0:t>
        </ns0:is>
      </ns0:c>
      <ns0:c r="D24" s="2" t="inlineStr">
        <ns0:is>
          <ns0:t>饮用水</ns0:t>
        </ns0:is>
      </ns0:c>
      <ns0:c r="E24" s="6" t="n">
        <ns0:f>'Q2_逐箱交付'!D24</ns0:f>
        <ns0:v>3245.5061288743</ns0:v>
      </ns0:c>
      <ns0:c r="F24" s="6" t="n">
        <ns0:v>3600</ns0:v>
      </ns0:c>
      <ns0:c r="G24" s="7" t="b">
        <ns0:v>0</ns0:v>
      </ns0:c>
      <ns0:c r="H24" s="7" t="n"/>
      <ns0:c r="I24" s="7" t="b">
        <ns0:v>0</ns0:v>
      </ns0:c>
      <ns0:c r="J24" s="6" t="n">
        <ns0:v>12</ns0:v>
      </ns0:c>
      <ns0:c r="K24" s="6" t="str">
        <ns0:f>IF(G24,H24-E24,"")</ns0:f>
        <ns0:v/>
      </ns0:c>
      <ns0:c r="L24" s="6" t="n">
        <ns0:f>MAX(0,E24-F24)</ns0:f>
        <ns0:v>0.0</ns0:v>
      </ns0:c>
      <ns0:c r="M24" s="6" t="n">
        <ns0:f>IF(G24,0,J24)</ns0:f>
        <ns0:v>12.0</ns0:v>
      </ns0:c>
      <ns0:c r="N24" s="6" t="n">
        <ns0:f>M24*L24</ns0:f>
        <ns0:v>0.0</ns0:v>
      </ns0:c>
      <ns0:c r="O24" s="6" t="n">
        <ns0:f>IF(P24,0,J24)</ns0:f>
        <ns0:v>12.0</ns0:v>
      </ns0:c>
      <ns0:c r="P24" s="7" t="b">
        <ns0:v>0</ns0:v>
      </ns0:c>
    </ns0:row>
    <ns0:row r="25" ht="25" customHeight="1">
      <ns0:c r="A25" s="2" t="inlineStr">
        <ns0:is>
          <ns0:t>S003-FOD-01</ns0:t>
        </ns0:is>
      </ns0:c>
      <ns0:c r="B25" s="2" t="inlineStr">
        <ns0:is>
          <ns0:t>Q2-0019</ns0:t>
        </ns0:is>
      </ns0:c>
      <ns0:c r="C25" s="2" t="inlineStr">
        <ns0:is>
          <ns0:t>S003</ns0:t>
        </ns0:is>
      </ns0:c>
      <ns0:c r="D25" s="2" t="inlineStr">
        <ns0:is>
          <ns0:t>应急食品</ns0:t>
        </ns0:is>
      </ns0:c>
      <ns0:c r="E25" s="6" t="n">
        <ns0:f>'Q2_逐箱交付'!D25</ns0:f>
        <ns0:v>5577.566067436208</ns0:v>
      </ns0:c>
      <ns0:c r="F25" s="6" t="n">
        <ns0:v>10800</ns0:v>
      </ns0:c>
      <ns0:c r="G25" s="7" t="b">
        <ns0:v>0</ns0:v>
      </ns0:c>
      <ns0:c r="H25" s="7" t="n"/>
      <ns0:c r="I25" s="7" t="b">
        <ns0:v>0</ns0:v>
      </ns0:c>
      <ns0:c r="J25" s="6" t="n">
        <ns0:v>8</ns0:v>
      </ns0:c>
      <ns0:c r="K25" s="6" t="str">
        <ns0:f>IF(G25,H25-E25,"")</ns0:f>
        <ns0:v/>
      </ns0:c>
      <ns0:c r="L25" s="6" t="n">
        <ns0:f>MAX(0,E25-F25)</ns0:f>
        <ns0:v>0.0</ns0:v>
      </ns0:c>
      <ns0:c r="M25" s="6" t="n">
        <ns0:f>IF(G25,0,J25)</ns0:f>
        <ns0:v>8.0</ns0:v>
      </ns0:c>
      <ns0:c r="N25" s="6" t="n">
        <ns0:f>M25*L25</ns0:f>
        <ns0:v>0.0</ns0:v>
      </ns0:c>
      <ns0:c r="O25" s="6" t="n">
        <ns0:f>IF(P25,0,J25)</ns0:f>
        <ns0:v>8.0</ns0:v>
      </ns0:c>
      <ns0:c r="P25" s="7" t="b">
        <ns0:v>0</ns0:v>
      </ns0:c>
    </ns0:row>
    <ns0:row r="26" ht="25" customHeight="1">
      <ns0:c r="A26" s="2" t="inlineStr">
        <ns0:is>
          <ns0:t>S003-FOD-02</ns0:t>
        </ns0:is>
      </ns0:c>
      <ns0:c r="B26" s="2" t="inlineStr">
        <ns0:is>
          <ns0:t>Q2-0019</ns0:t>
        </ns0:is>
      </ns0:c>
      <ns0:c r="C26" s="2" t="inlineStr">
        <ns0:is>
          <ns0:t>S003</ns0:t>
        </ns0:is>
      </ns0:c>
      <ns0:c r="D26" s="2" t="inlineStr">
        <ns0:is>
          <ns0:t>应急食品</ns0:t>
        </ns0:is>
      </ns0:c>
      <ns0:c r="E26" s="6" t="n">
        <ns0:f>'Q2_逐箱交付'!D26</ns0:f>
        <ns0:v>5577.566067436208</ns0:v>
      </ns0:c>
      <ns0:c r="F26" s="6" t="n">
        <ns0:v>10800</ns0:v>
      </ns0:c>
      <ns0:c r="G26" s="7" t="b">
        <ns0:v>0</ns0:v>
      </ns0:c>
      <ns0:c r="H26" s="7" t="n"/>
      <ns0:c r="I26" s="7" t="b">
        <ns0:v>0</ns0:v>
      </ns0:c>
      <ns0:c r="J26" s="6" t="n">
        <ns0:v>8</ns0:v>
      </ns0:c>
      <ns0:c r="K26" s="6" t="str">
        <ns0:f>IF(G26,H26-E26,"")</ns0:f>
        <ns0:v/>
      </ns0:c>
      <ns0:c r="L26" s="6" t="n">
        <ns0:f>MAX(0,E26-F26)</ns0:f>
        <ns0:v>0.0</ns0:v>
      </ns0:c>
      <ns0:c r="M26" s="6" t="n">
        <ns0:f>IF(G26,0,J26)</ns0:f>
        <ns0:v>8.0</ns0:v>
      </ns0:c>
      <ns0:c r="N26" s="6" t="n">
        <ns0:f>M26*L26</ns0:f>
        <ns0:v>0.0</ns0:v>
      </ns0:c>
      <ns0:c r="O26" s="6" t="n">
        <ns0:f>IF(P26,0,J26)</ns0:f>
        <ns0:v>8.0</ns0:v>
      </ns0:c>
      <ns0:c r="P26" s="7" t="b">
        <ns0:v>0</ns0:v>
      </ns0:c>
    </ns0:row>
    <ns0:row r="27" ht="25" customHeight="1">
      <ns0:c r="A27" s="2" t="inlineStr">
        <ns0:is>
          <ns0:t>S003-HYG-01</ns0:t>
        </ns0:is>
      </ns0:c>
      <ns0:c r="B27" s="2" t="inlineStr">
        <ns0:is>
          <ns0:t>Q2-0019</ns0:t>
        </ns0:is>
      </ns0:c>
      <ns0:c r="C27" s="2" t="inlineStr">
        <ns0:is>
          <ns0:t>S003</ns0:t>
        </ns0:is>
      </ns0:c>
      <ns0:c r="D27" s="2" t="inlineStr">
        <ns0:is>
          <ns0:t>生活卫生用品</ns0:t>
        </ns0:is>
      </ns0:c>
      <ns0:c r="E27" s="6" t="n">
        <ns0:f>'Q2_逐箱交付'!D27</ns0:f>
        <ns0:v>5577.566067436208</ns0:v>
      </ns0:c>
      <ns0:c r="F27" s="6" t="n">
        <ns0:v>14400</ns0:v>
      </ns0:c>
      <ns0:c r="G27" s="7" t="b">
        <ns0:v>0</ns0:v>
      </ns0:c>
      <ns0:c r="H27" s="7" t="n"/>
      <ns0:c r="I27" s="7" t="b">
        <ns0:v>0</ns0:v>
      </ns0:c>
      <ns0:c r="J27" s="6" t="n">
        <ns0:v>6</ns0:v>
      </ns0:c>
      <ns0:c r="K27" s="6" t="str">
        <ns0:f>IF(G27,H27-E27,"")</ns0:f>
        <ns0:v/>
      </ns0:c>
      <ns0:c r="L27" s="6" t="n">
        <ns0:f>MAX(0,E27-F27)</ns0:f>
        <ns0:v>0.0</ns0:v>
      </ns0:c>
      <ns0:c r="M27" s="6" t="n">
        <ns0:f>IF(G27,0,J27)</ns0:f>
        <ns0:v>6.0</ns0:v>
      </ns0:c>
      <ns0:c r="N27" s="6" t="n">
        <ns0:f>M27*L27</ns0:f>
        <ns0:v>0.0</ns0:v>
      </ns0:c>
      <ns0:c r="O27" s="6" t="n">
        <ns0:f>IF(P27,0,J27)</ns0:f>
        <ns0:v>6.0</ns0:v>
      </ns0:c>
      <ns0:c r="P27" s="7" t="b">
        <ns0:v>0</ns0:v>
      </ns0:c>
    </ns0:row>
    <ns0:row r="28" ht="25" customHeight="1">
      <ns0:c r="A28" s="2" t="inlineStr">
        <ns0:is>
          <ns0:t>S003-MED-01</ns0:t>
        </ns0:is>
      </ns0:c>
      <ns0:c r="B28" s="2" t="inlineStr">
        <ns0:is>
          <ns0:t>Q2-0019</ns0:t>
        </ns0:is>
      </ns0:c>
      <ns0:c r="C28" s="2" t="inlineStr">
        <ns0:is>
          <ns0:t>S003</ns0:t>
        </ns0:is>
      </ns0:c>
      <ns0:c r="D28" s="2" t="inlineStr">
        <ns0:is>
          <ns0:t>医疗物资</ns0:t>
        </ns0:is>
      </ns0:c>
      <ns0:c r="E28" s="6" t="n">
        <ns0:f>'Q2_逐箱交付'!D28</ns0:f>
        <ns0:v>5577.566067436208</ns0:v>
      </ns0:c>
      <ns0:c r="F28" s="6" t="n">
        <ns0:v>7200</ns0:v>
      </ns0:c>
      <ns0:c r="G28" s="7" t="b">
        <ns0:v>1</ns0:v>
      </ns0:c>
      <ns0:c r="H28" s="6" t="n">
        <ns0:v>7200</ns0:v>
      </ns0:c>
      <ns0:c r="I28" s="7" t="b">
        <ns0:v>1</ns0:v>
      </ns0:c>
      <ns0:c r="J28" s="6" t="n">
        <ns0:v>20</ns0:v>
      </ns0:c>
      <ns0:c r="K28" s="6" t="n">
        <ns0:f>IF(G28,H28-E28,"")</ns0:f>
        <ns0:v>1622.433932563792</ns0:v>
      </ns0:c>
      <ns0:c r="L28" s="6" t="n">
        <ns0:f>MAX(0,E28-F28)</ns0:f>
        <ns0:v>0.0</ns0:v>
      </ns0:c>
      <ns0:c r="M28" s="6" t="n">
        <ns0:f>IF(G28,0,J28)</ns0:f>
        <ns0:v>0.0</ns0:v>
      </ns0:c>
      <ns0:c r="N28" s="6" t="n">
        <ns0:f>M28*L28</ns0:f>
        <ns0:v>0.0</ns0:v>
      </ns0:c>
      <ns0:c r="O28" s="6" t="n">
        <ns0:f>IF(P28,0,J28)</ns0:f>
        <ns0:v>0.0</ns0:v>
      </ns0:c>
      <ns0:c r="P28" s="7" t="b">
        <ns0:v>1</ns0:v>
      </ns0:c>
    </ns0:row>
    <ns0:row r="29" ht="25" customHeight="1">
      <ns0:c r="A29" s="2" t="inlineStr">
        <ns0:is>
          <ns0:t>S003-WAT-01</ns0:t>
        </ns0:is>
      </ns0:c>
      <ns0:c r="B29" s="2" t="inlineStr">
        <ns0:is>
          <ns0:t>Q2-0019</ns0:t>
        </ns0:is>
      </ns0:c>
      <ns0:c r="C29" s="2" t="inlineStr">
        <ns0:is>
          <ns0:t>S003</ns0:t>
        </ns0:is>
      </ns0:c>
      <ns0:c r="D29" s="2" t="inlineStr">
        <ns0:is>
          <ns0:t>饮用水</ns0:t>
        </ns0:is>
      </ns0:c>
      <ns0:c r="E29" s="6" t="n">
        <ns0:f>'Q2_逐箱交付'!D29</ns0:f>
        <ns0:v>5577.566067436208</ns0:v>
      </ns0:c>
      <ns0:c r="F29" s="6" t="n">
        <ns0:v>7200</ns0:v>
      </ns0:c>
      <ns0:c r="G29" s="7" t="b">
        <ns0:v>1</ns0:v>
      </ns0:c>
      <ns0:c r="H29" s="6" t="n">
        <ns0:v>7200</ns0:v>
      </ns0:c>
      <ns0:c r="I29" s="7" t="b">
        <ns0:v>1</ns0:v>
      </ns0:c>
      <ns0:c r="J29" s="6" t="n">
        <ns0:v>10</ns0:v>
      </ns0:c>
      <ns0:c r="K29" s="6" t="n">
        <ns0:f>IF(G29,H29-E29,"")</ns0:f>
        <ns0:v>1622.433932563792</ns0:v>
      </ns0:c>
      <ns0:c r="L29" s="6" t="n">
        <ns0:f>MAX(0,E29-F29)</ns0:f>
        <ns0:v>0.0</ns0:v>
      </ns0:c>
      <ns0:c r="M29" s="6" t="n">
        <ns0:f>IF(G29,0,J29)</ns0:f>
        <ns0:v>0.0</ns0:v>
      </ns0:c>
      <ns0:c r="N29" s="6" t="n">
        <ns0:f>M29*L29</ns0:f>
        <ns0:v>0.0</ns0:v>
      </ns0:c>
      <ns0:c r="O29" s="6" t="n">
        <ns0:f>IF(P29,0,J29)</ns0:f>
        <ns0:v>10.0</ns0:v>
      </ns0:c>
      <ns0:c r="P29" s="7" t="b">
        <ns0:v>0</ns0:v>
      </ns0:c>
    </ns0:row>
    <ns0:row r="30" ht="25" customHeight="1">
      <ns0:c r="A30" s="2" t="inlineStr">
        <ns0:is>
          <ns0:t>S003-WAT-02</ns0:t>
        </ns0:is>
      </ns0:c>
      <ns0:c r="B30" s="2" t="inlineStr">
        <ns0:is>
          <ns0:t>Q2-0019</ns0:t>
        </ns0:is>
      </ns0:c>
      <ns0:c r="C30" s="2" t="inlineStr">
        <ns0:is>
          <ns0:t>S003</ns0:t>
        </ns0:is>
      </ns0:c>
      <ns0:c r="D30" s="2" t="inlineStr">
        <ns0:is>
          <ns0:t>饮用水</ns0:t>
        </ns0:is>
      </ns0:c>
      <ns0:c r="E30" s="6" t="n">
        <ns0:f>'Q2_逐箱交付'!D30</ns0:f>
        <ns0:v>5577.566067436208</ns0:v>
      </ns0:c>
      <ns0:c r="F30" s="6" t="n">
        <ns0:v>7200</ns0:v>
      </ns0:c>
      <ns0:c r="G30" s="7" t="b">
        <ns0:v>0</ns0:v>
      </ns0:c>
      <ns0:c r="H30" s="7" t="n"/>
      <ns0:c r="I30" s="7" t="b">
        <ns0:v>0</ns0:v>
      </ns0:c>
      <ns0:c r="J30" s="6" t="n">
        <ns0:v>10</ns0:v>
      </ns0:c>
      <ns0:c r="K30" s="6" t="str">
        <ns0:f>IF(G30,H30-E30,"")</ns0:f>
        <ns0:v/>
      </ns0:c>
      <ns0:c r="L30" s="6" t="n">
        <ns0:f>MAX(0,E30-F30)</ns0:f>
        <ns0:v>0.0</ns0:v>
      </ns0:c>
      <ns0:c r="M30" s="6" t="n">
        <ns0:f>IF(G30,0,J30)</ns0:f>
        <ns0:v>10.0</ns0:v>
      </ns0:c>
      <ns0:c r="N30" s="6" t="n">
        <ns0:f>M30*L30</ns0:f>
        <ns0:v>0.0</ns0:v>
      </ns0:c>
      <ns0:c r="O30" s="6" t="n">
        <ns0:f>IF(P30,0,J30)</ns0:f>
        <ns0:v>10.0</ns0:v>
      </ns0:c>
      <ns0:c r="P30" s="7" t="b">
        <ns0:v>0</ns0:v>
      </ns0:c>
    </ns0:row>
    <ns0:row r="31" ht="25" customHeight="1">
      <ns0:c r="A31" s="2" t="inlineStr">
        <ns0:is>
          <ns0:t>S003-WAT-03</ns0:t>
        </ns0:is>
      </ns0:c>
      <ns0:c r="B31" s="2" t="inlineStr">
        <ns0:is>
          <ns0:t>Q2-0021</ns0:t>
        </ns0:is>
      </ns0:c>
      <ns0:c r="C31" s="2" t="inlineStr">
        <ns0:is>
          <ns0:t>S003</ns0:t>
        </ns0:is>
      </ns0:c>
      <ns0:c r="D31" s="2" t="inlineStr">
        <ns0:is>
          <ns0:t>饮用水</ns0:t>
        </ns0:is>
      </ns0:c>
      <ns0:c r="E31" s="6" t="n">
        <ns0:f>'Q2_逐箱交付'!D31</ns0:f>
        <ns0:v>5770.703320011418</ns0:v>
      </ns0:c>
      <ns0:c r="F31" s="6" t="n">
        <ns0:v>7200</ns0:v>
      </ns0:c>
      <ns0:c r="G31" s="7" t="b">
        <ns0:v>0</ns0:v>
      </ns0:c>
      <ns0:c r="H31" s="7" t="n"/>
      <ns0:c r="I31" s="7" t="b">
        <ns0:v>0</ns0:v>
      </ns0:c>
      <ns0:c r="J31" s="6" t="n">
        <ns0:v>10</ns0:v>
      </ns0:c>
      <ns0:c r="K31" s="6" t="str">
        <ns0:f>IF(G31,H31-E31,"")</ns0:f>
        <ns0:v/>
      </ns0:c>
      <ns0:c r="L31" s="6" t="n">
        <ns0:f>MAX(0,E31-F31)</ns0:f>
        <ns0:v>0.0</ns0:v>
      </ns0:c>
      <ns0:c r="M31" s="6" t="n">
        <ns0:f>IF(G31,0,J31)</ns0:f>
        <ns0:v>10.0</ns0:v>
      </ns0:c>
      <ns0:c r="N31" s="6" t="n">
        <ns0:f>M31*L31</ns0:f>
        <ns0:v>0.0</ns0:v>
      </ns0:c>
      <ns0:c r="O31" s="6" t="n">
        <ns0:f>IF(P31,0,J31)</ns0:f>
        <ns0:v>10.0</ns0:v>
      </ns0:c>
      <ns0:c r="P31" s="7" t="b">
        <ns0:v>0</ns0:v>
      </ns0:c>
    </ns0:row>
    <ns0:row r="32" ht="25" customHeight="1">
      <ns0:c r="A32" s="2" t="inlineStr">
        <ns0:is>
          <ns0:t>S003-WAT-04</ns0:t>
        </ns0:is>
      </ns0:c>
      <ns0:c r="B32" s="2" t="inlineStr">
        <ns0:is>
          <ns0:t>Q2-0019</ns0:t>
        </ns0:is>
      </ns0:c>
      <ns0:c r="C32" s="2" t="inlineStr">
        <ns0:is>
          <ns0:t>S003</ns0:t>
        </ns0:is>
      </ns0:c>
      <ns0:c r="D32" s="2" t="inlineStr">
        <ns0:is>
          <ns0:t>饮用水</ns0:t>
        </ns0:is>
      </ns0:c>
      <ns0:c r="E32" s="6" t="n">
        <ns0:f>'Q2_逐箱交付'!D32</ns0:f>
        <ns0:v>5577.566067436208</ns0:v>
      </ns0:c>
      <ns0:c r="F32" s="6" t="n">
        <ns0:v>7200</ns0:v>
      </ns0:c>
      <ns0:c r="G32" s="7" t="b">
        <ns0:v>0</ns0:v>
      </ns0:c>
      <ns0:c r="H32" s="7" t="n"/>
      <ns0:c r="I32" s="7" t="b">
        <ns0:v>0</ns0:v>
      </ns0:c>
      <ns0:c r="J32" s="6" t="n">
        <ns0:v>10</ns0:v>
      </ns0:c>
      <ns0:c r="K32" s="6" t="str">
        <ns0:f>IF(G32,H32-E32,"")</ns0:f>
        <ns0:v/>
      </ns0:c>
      <ns0:c r="L32" s="6" t="n">
        <ns0:f>MAX(0,E32-F32)</ns0:f>
        <ns0:v>0.0</ns0:v>
      </ns0:c>
      <ns0:c r="M32" s="6" t="n">
        <ns0:f>IF(G32,0,J32)</ns0:f>
        <ns0:v>10.0</ns0:v>
      </ns0:c>
      <ns0:c r="N32" s="6" t="n">
        <ns0:f>M32*L32</ns0:f>
        <ns0:v>0.0</ns0:v>
      </ns0:c>
      <ns0:c r="O32" s="6" t="n">
        <ns0:f>IF(P32,0,J32)</ns0:f>
        <ns0:v>10.0</ns0:v>
      </ns0:c>
      <ns0:c r="P32" s="7" t="b">
        <ns0:v>0</ns0:v>
      </ns0:c>
    </ns0:row>
    <ns0:row r="33" ht="25" customHeight="1">
      <ns0:c r="A33" s="2" t="inlineStr">
        <ns0:is>
          <ns0:t>S004-FOD-01</ns0:t>
        </ns0:is>
      </ns0:c>
      <ns0:c r="B33" s="2" t="inlineStr">
        <ns0:is>
          <ns0:t>Q2-0016</ns0:t>
        </ns0:is>
      </ns0:c>
      <ns0:c r="C33" s="2" t="inlineStr">
        <ns0:is>
          <ns0:t>S004</ns0:t>
        </ns0:is>
      </ns0:c>
      <ns0:c r="D33" s="2" t="inlineStr">
        <ns0:is>
          <ns0:t>应急食品</ns0:t>
        </ns0:is>
      </ns0:c>
      <ns0:c r="E33" s="6" t="n">
        <ns0:f>'Q2_逐箱交付'!D33</ns0:f>
        <ns0:v>4064.9351105301553</ns0:v>
      </ns0:c>
      <ns0:c r="F33" s="6" t="n">
        <ns0:v>10800</ns0:v>
      </ns0:c>
      <ns0:c r="G33" s="7" t="b">
        <ns0:v>0</ns0:v>
      </ns0:c>
      <ns0:c r="H33" s="7" t="n"/>
      <ns0:c r="I33" s="7" t="b">
        <ns0:v>0</ns0:v>
      </ns0:c>
      <ns0:c r="J33" s="6" t="n">
        <ns0:v>8</ns0:v>
      </ns0:c>
      <ns0:c r="K33" s="6" t="str">
        <ns0:f>IF(G33,H33-E33,"")</ns0:f>
        <ns0:v/>
      </ns0:c>
      <ns0:c r="L33" s="6" t="n">
        <ns0:f>MAX(0,E33-F33)</ns0:f>
        <ns0:v>0.0</ns0:v>
      </ns0:c>
      <ns0:c r="M33" s="6" t="n">
        <ns0:f>IF(G33,0,J33)</ns0:f>
        <ns0:v>8.0</ns0:v>
      </ns0:c>
      <ns0:c r="N33" s="6" t="n">
        <ns0:f>M33*L33</ns0:f>
        <ns0:v>0.0</ns0:v>
      </ns0:c>
      <ns0:c r="O33" s="6" t="n">
        <ns0:f>IF(P33,0,J33)</ns0:f>
        <ns0:v>8.0</ns0:v>
      </ns0:c>
      <ns0:c r="P33" s="7" t="b">
        <ns0:v>0</ns0:v>
      </ns0:c>
    </ns0:row>
    <ns0:row r="34" ht="25" customHeight="1">
      <ns0:c r="A34" s="2" t="inlineStr">
        <ns0:is>
          <ns0:t>S004-HYG-01</ns0:t>
        </ns0:is>
      </ns0:c>
      <ns0:c r="B34" s="2" t="inlineStr">
        <ns0:is>
          <ns0:t>Q2-0016</ns0:t>
        </ns0:is>
      </ns0:c>
      <ns0:c r="C34" s="2" t="inlineStr">
        <ns0:is>
          <ns0:t>S004</ns0:t>
        </ns0:is>
      </ns0:c>
      <ns0:c r="D34" s="2" t="inlineStr">
        <ns0:is>
          <ns0:t>生活卫生用品</ns0:t>
        </ns0:is>
      </ns0:c>
      <ns0:c r="E34" s="6" t="n">
        <ns0:f>'Q2_逐箱交付'!D34</ns0:f>
        <ns0:v>4064.9351105301553</ns0:v>
      </ns0:c>
      <ns0:c r="F34" s="6" t="n">
        <ns0:v>14400</ns0:v>
      </ns0:c>
      <ns0:c r="G34" s="7" t="b">
        <ns0:v>0</ns0:v>
      </ns0:c>
      <ns0:c r="H34" s="7" t="n"/>
      <ns0:c r="I34" s="7" t="b">
        <ns0:v>0</ns0:v>
      </ns0:c>
      <ns0:c r="J34" s="6" t="n">
        <ns0:v>6</ns0:v>
      </ns0:c>
      <ns0:c r="K34" s="6" t="str">
        <ns0:f>IF(G34,H34-E34,"")</ns0:f>
        <ns0:v/>
      </ns0:c>
      <ns0:c r="L34" s="6" t="n">
        <ns0:f>MAX(0,E34-F34)</ns0:f>
        <ns0:v>0.0</ns0:v>
      </ns0:c>
      <ns0:c r="M34" s="6" t="n">
        <ns0:f>IF(G34,0,J34)</ns0:f>
        <ns0:v>6.0</ns0:v>
      </ns0:c>
      <ns0:c r="N34" s="6" t="n">
        <ns0:f>M34*L34</ns0:f>
        <ns0:v>0.0</ns0:v>
      </ns0:c>
      <ns0:c r="O34" s="6" t="n">
        <ns0:f>IF(P34,0,J34)</ns0:f>
        <ns0:v>6.0</ns0:v>
      </ns0:c>
      <ns0:c r="P34" s="7" t="b">
        <ns0:v>0</ns0:v>
      </ns0:c>
    </ns0:row>
    <ns0:row r="35" ht="25" customHeight="1">
      <ns0:c r="A35" s="2" t="inlineStr">
        <ns0:is>
          <ns0:t>S004-MED-01</ns0:t>
        </ns0:is>
      </ns0:c>
      <ns0:c r="B35" s="2" t="inlineStr">
        <ns0:is>
          <ns0:t>Q2-0016</ns0:t>
        </ns0:is>
      </ns0:c>
      <ns0:c r="C35" s="2" t="inlineStr">
        <ns0:is>
          <ns0:t>S004</ns0:t>
        </ns0:is>
      </ns0:c>
      <ns0:c r="D35" s="2" t="inlineStr">
        <ns0:is>
          <ns0:t>医疗物资</ns0:t>
        </ns0:is>
      </ns0:c>
      <ns0:c r="E35" s="6" t="n">
        <ns0:f>'Q2_逐箱交付'!D35</ns0:f>
        <ns0:v>4064.9351105301553</ns0:v>
      </ns0:c>
      <ns0:c r="F35" s="6" t="n">
        <ns0:v>7200</ns0:v>
      </ns0:c>
      <ns0:c r="G35" s="7" t="b">
        <ns0:v>1</ns0:v>
      </ns0:c>
      <ns0:c r="H35" s="6" t="n">
        <ns0:v>7200</ns0:v>
      </ns0:c>
      <ns0:c r="I35" s="7" t="b">
        <ns0:v>1</ns0:v>
      </ns0:c>
      <ns0:c r="J35" s="6" t="n">
        <ns0:v>20</ns0:v>
      </ns0:c>
      <ns0:c r="K35" s="6" t="n">
        <ns0:f>IF(G35,H35-E35,"")</ns0:f>
        <ns0:v>3135.0648894698447</ns0:v>
      </ns0:c>
      <ns0:c r="L35" s="6" t="n">
        <ns0:f>MAX(0,E35-F35)</ns0:f>
        <ns0:v>0.0</ns0:v>
      </ns0:c>
      <ns0:c r="M35" s="6" t="n">
        <ns0:f>IF(G35,0,J35)</ns0:f>
        <ns0:v>0.0</ns0:v>
      </ns0:c>
      <ns0:c r="N35" s="6" t="n">
        <ns0:f>M35*L35</ns0:f>
        <ns0:v>0.0</ns0:v>
      </ns0:c>
      <ns0:c r="O35" s="6" t="n">
        <ns0:f>IF(P35,0,J35)</ns0:f>
        <ns0:v>0.0</ns0:v>
      </ns0:c>
      <ns0:c r="P35" s="7" t="b">
        <ns0:v>1</ns0:v>
      </ns0:c>
    </ns0:row>
    <ns0:row r="36" ht="25" customHeight="1">
      <ns0:c r="A36" s="2" t="inlineStr">
        <ns0:is>
          <ns0:t>S004-WAT-01</ns0:t>
        </ns0:is>
      </ns0:c>
      <ns0:c r="B36" s="2" t="inlineStr">
        <ns0:is>
          <ns0:t>Q2-0016</ns0:t>
        </ns0:is>
      </ns0:c>
      <ns0:c r="C36" s="2" t="inlineStr">
        <ns0:is>
          <ns0:t>S004</ns0:t>
        </ns0:is>
      </ns0:c>
      <ns0:c r="D36" s="2" t="inlineStr">
        <ns0:is>
          <ns0:t>饮用水</ns0:t>
        </ns0:is>
      </ns0:c>
      <ns0:c r="E36" s="6" t="n">
        <ns0:f>'Q2_逐箱交付'!D36</ns0:f>
        <ns0:v>4064.9351105301553</ns0:v>
      </ns0:c>
      <ns0:c r="F36" s="6" t="n">
        <ns0:v>7200</ns0:v>
      </ns0:c>
      <ns0:c r="G36" s="7" t="b">
        <ns0:v>1</ns0:v>
      </ns0:c>
      <ns0:c r="H36" s="6" t="n">
        <ns0:v>7200</ns0:v>
      </ns0:c>
      <ns0:c r="I36" s="7" t="b">
        <ns0:v>1</ns0:v>
      </ns0:c>
      <ns0:c r="J36" s="6" t="n">
        <ns0:v>10</ns0:v>
      </ns0:c>
      <ns0:c r="K36" s="6" t="n">
        <ns0:f>IF(G36,H36-E36,"")</ns0:f>
        <ns0:v>3135.0648894698447</ns0:v>
      </ns0:c>
      <ns0:c r="L36" s="6" t="n">
        <ns0:f>MAX(0,E36-F36)</ns0:f>
        <ns0:v>0.0</ns0:v>
      </ns0:c>
      <ns0:c r="M36" s="6" t="n">
        <ns0:f>IF(G36,0,J36)</ns0:f>
        <ns0:v>0.0</ns0:v>
      </ns0:c>
      <ns0:c r="N36" s="6" t="n">
        <ns0:f>M36*L36</ns0:f>
        <ns0:v>0.0</ns0:v>
      </ns0:c>
      <ns0:c r="O36" s="6" t="n">
        <ns0:f>IF(P36,0,J36)</ns0:f>
        <ns0:v>10.0</ns0:v>
      </ns0:c>
      <ns0:c r="P36" s="7" t="b">
        <ns0:v>0</ns0:v>
      </ns0:c>
    </ns0:row>
    <ns0:row r="37" ht="25" customHeight="1">
      <ns0:c r="A37" s="2" t="inlineStr">
        <ns0:is>
          <ns0:t>S004-WAT-02</ns0:t>
        </ns0:is>
      </ns0:c>
      <ns0:c r="B37" s="2" t="inlineStr">
        <ns0:is>
          <ns0:t>Q2-0016</ns0:t>
        </ns0:is>
      </ns0:c>
      <ns0:c r="C37" s="2" t="inlineStr">
        <ns0:is>
          <ns0:t>S004</ns0:t>
        </ns0:is>
      </ns0:c>
      <ns0:c r="D37" s="2" t="inlineStr">
        <ns0:is>
          <ns0:t>饮用水</ns0:t>
        </ns0:is>
      </ns0:c>
      <ns0:c r="E37" s="6" t="n">
        <ns0:f>'Q2_逐箱交付'!D37</ns0:f>
        <ns0:v>4064.9351105301553</ns0:v>
      </ns0:c>
      <ns0:c r="F37" s="6" t="n">
        <ns0:v>7200</ns0:v>
      </ns0:c>
      <ns0:c r="G37" s="7" t="b">
        <ns0:v>0</ns0:v>
      </ns0:c>
      <ns0:c r="H37" s="7" t="n"/>
      <ns0:c r="I37" s="7" t="b">
        <ns0:v>0</ns0:v>
      </ns0:c>
      <ns0:c r="J37" s="6" t="n">
        <ns0:v>10</ns0:v>
      </ns0:c>
      <ns0:c r="K37" s="6" t="str">
        <ns0:f>IF(G37,H37-E37,"")</ns0:f>
        <ns0:v/>
      </ns0:c>
      <ns0:c r="L37" s="6" t="n">
        <ns0:f>MAX(0,E37-F37)</ns0:f>
        <ns0:v>0.0</ns0:v>
      </ns0:c>
      <ns0:c r="M37" s="6" t="n">
        <ns0:f>IF(G37,0,J37)</ns0:f>
        <ns0:v>10.0</ns0:v>
      </ns0:c>
      <ns0:c r="N37" s="6" t="n">
        <ns0:f>M37*L37</ns0:f>
        <ns0:v>0.0</ns0:v>
      </ns0:c>
      <ns0:c r="O37" s="6" t="n">
        <ns0:f>IF(P37,0,J37)</ns0:f>
        <ns0:v>10.0</ns0:v>
      </ns0:c>
      <ns0:c r="P37" s="7" t="b">
        <ns0:v>0</ns0:v>
      </ns0:c>
    </ns0:row>
    <ns0:row r="38" ht="25" customHeight="1">
      <ns0:c r="A38" s="2" t="inlineStr">
        <ns0:is>
          <ns0:t>S004-WAT-03</ns0:t>
        </ns0:is>
      </ns0:c>
      <ns0:c r="B38" s="2" t="inlineStr">
        <ns0:is>
          <ns0:t>Q2-0016</ns0:t>
        </ns0:is>
      </ns0:c>
      <ns0:c r="C38" s="2" t="inlineStr">
        <ns0:is>
          <ns0:t>S004</ns0:t>
        </ns0:is>
      </ns0:c>
      <ns0:c r="D38" s="2" t="inlineStr">
        <ns0:is>
          <ns0:t>饮用水</ns0:t>
        </ns0:is>
      </ns0:c>
      <ns0:c r="E38" s="6" t="n">
        <ns0:f>'Q2_逐箱交付'!D38</ns0:f>
        <ns0:v>4064.9351105301553</ns0:v>
      </ns0:c>
      <ns0:c r="F38" s="6" t="n">
        <ns0:v>7200</ns0:v>
      </ns0:c>
      <ns0:c r="G38" s="7" t="b">
        <ns0:v>0</ns0:v>
      </ns0:c>
      <ns0:c r="H38" s="7" t="n"/>
      <ns0:c r="I38" s="7" t="b">
        <ns0:v>0</ns0:v>
      </ns0:c>
      <ns0:c r="J38" s="6" t="n">
        <ns0:v>10</ns0:v>
      </ns0:c>
      <ns0:c r="K38" s="6" t="str">
        <ns0:f>IF(G38,H38-E38,"")</ns0:f>
        <ns0:v/>
      </ns0:c>
      <ns0:c r="L38" s="6" t="n">
        <ns0:f>MAX(0,E38-F38)</ns0:f>
        <ns0:v>0.0</ns0:v>
      </ns0:c>
      <ns0:c r="M38" s="6" t="n">
        <ns0:f>IF(G38,0,J38)</ns0:f>
        <ns0:v>10.0</ns0:v>
      </ns0:c>
      <ns0:c r="N38" s="6" t="n">
        <ns0:f>M38*L38</ns0:f>
        <ns0:v>0.0</ns0:v>
      </ns0:c>
      <ns0:c r="O38" s="6" t="n">
        <ns0:f>IF(P38,0,J38)</ns0:f>
        <ns0:v>10.0</ns0:v>
      </ns0:c>
      <ns0:c r="P38" s="7" t="b">
        <ns0:v>0</ns0:v>
      </ns0:c>
    </ns0:row>
    <ns0:row r="39" ht="25" customHeight="1">
      <ns0:c r="A39" s="2" t="inlineStr">
        <ns0:is>
          <ns0:t>S005-FOD-01</ns0:t>
        </ns0:is>
      </ns0:c>
      <ns0:c r="B39" s="2" t="inlineStr">
        <ns0:is>
          <ns0:t>Q2-0023</ns0:t>
        </ns0:is>
      </ns0:c>
      <ns0:c r="C39" s="2" t="inlineStr">
        <ns0:is>
          <ns0:t>S005</ns0:t>
        </ns0:is>
      </ns0:c>
      <ns0:c r="D39" s="2" t="inlineStr">
        <ns0:is>
          <ns0:t>应急食品</ns0:t>
        </ns0:is>
      </ns0:c>
      <ns0:c r="E39" s="6" t="n">
        <ns0:f>'Q2_逐箱交付'!D39</ns0:f>
        <ns0:v>6168.054974070438</ns0:v>
      </ns0:c>
      <ns0:c r="F39" s="6" t="n">
        <ns0:v>14400</ns0:v>
      </ns0:c>
      <ns0:c r="G39" s="7" t="b">
        <ns0:v>0</ns0:v>
      </ns0:c>
      <ns0:c r="H39" s="7" t="n"/>
      <ns0:c r="I39" s="7" t="b">
        <ns0:v>0</ns0:v>
      </ns0:c>
      <ns0:c r="J39" s="6" t="n">
        <ns0:v>6</ns0:v>
      </ns0:c>
      <ns0:c r="K39" s="6" t="str">
        <ns0:f>IF(G39,H39-E39,"")</ns0:f>
        <ns0:v/>
      </ns0:c>
      <ns0:c r="L39" s="6" t="n">
        <ns0:f>MAX(0,E39-F39)</ns0:f>
        <ns0:v>0.0</ns0:v>
      </ns0:c>
      <ns0:c r="M39" s="6" t="n">
        <ns0:f>IF(G39,0,J39)</ns0:f>
        <ns0:v>6.0</ns0:v>
      </ns0:c>
      <ns0:c r="N39" s="6" t="n">
        <ns0:f>M39*L39</ns0:f>
        <ns0:v>0.0</ns0:v>
      </ns0:c>
      <ns0:c r="O39" s="6" t="n">
        <ns0:f>IF(P39,0,J39)</ns0:f>
        <ns0:v>6.0</ns0:v>
      </ns0:c>
      <ns0:c r="P39" s="7" t="b">
        <ns0:v>0</ns0:v>
      </ns0:c>
    </ns0:row>
    <ns0:row r="40" ht="25" customHeight="1">
      <ns0:c r="A40" s="2" t="inlineStr">
        <ns0:is>
          <ns0:t>S005-HYG-01</ns0:t>
        </ns0:is>
      </ns0:c>
      <ns0:c r="B40" s="2" t="inlineStr">
        <ns0:is>
          <ns0:t>Q2-0023</ns0:t>
        </ns0:is>
      </ns0:c>
      <ns0:c r="C40" s="2" t="inlineStr">
        <ns0:is>
          <ns0:t>S005</ns0:t>
        </ns0:is>
      </ns0:c>
      <ns0:c r="D40" s="2" t="inlineStr">
        <ns0:is>
          <ns0:t>生活卫生用品</ns0:t>
        </ns0:is>
      </ns0:c>
      <ns0:c r="E40" s="6" t="n">
        <ns0:f>'Q2_逐箱交付'!D40</ns0:f>
        <ns0:v>6168.054974070438</ns0:v>
      </ns0:c>
      <ns0:c r="F40" s="6" t="n">
        <ns0:v>18000</ns0:v>
      </ns0:c>
      <ns0:c r="G40" s="7" t="b">
        <ns0:v>0</ns0:v>
      </ns0:c>
      <ns0:c r="H40" s="7" t="n"/>
      <ns0:c r="I40" s="7" t="b">
        <ns0:v>0</ns0:v>
      </ns0:c>
      <ns0:c r="J40" s="6" t="n">
        <ns0:v>4</ns0:v>
      </ns0:c>
      <ns0:c r="K40" s="6" t="str">
        <ns0:f>IF(G40,H40-E40,"")</ns0:f>
        <ns0:v/>
      </ns0:c>
      <ns0:c r="L40" s="6" t="n">
        <ns0:f>MAX(0,E40-F40)</ns0:f>
        <ns0:v>0.0</ns0:v>
      </ns0:c>
      <ns0:c r="M40" s="6" t="n">
        <ns0:f>IF(G40,0,J40)</ns0:f>
        <ns0:v>4.0</ns0:v>
      </ns0:c>
      <ns0:c r="N40" s="6" t="n">
        <ns0:f>M40*L40</ns0:f>
        <ns0:v>0.0</ns0:v>
      </ns0:c>
      <ns0:c r="O40" s="6" t="n">
        <ns0:f>IF(P40,0,J40)</ns0:f>
        <ns0:v>4.0</ns0:v>
      </ns0:c>
      <ns0:c r="P40" s="7" t="b">
        <ns0:v>0</ns0:v>
      </ns0:c>
    </ns0:row>
    <ns0:row r="41" ht="25" customHeight="1">
      <ns0:c r="A41" s="2" t="inlineStr">
        <ns0:is>
          <ns0:t>S005-MED-01</ns0:t>
        </ns0:is>
      </ns0:c>
      <ns0:c r="B41" s="2" t="inlineStr">
        <ns0:is>
          <ns0:t>Q2-0023</ns0:t>
        </ns0:is>
      </ns0:c>
      <ns0:c r="C41" s="2" t="inlineStr">
        <ns0:is>
          <ns0:t>S005</ns0:t>
        </ns0:is>
      </ns0:c>
      <ns0:c r="D41" s="2" t="inlineStr">
        <ns0:is>
          <ns0:t>医疗物资</ns0:t>
        </ns0:is>
      </ns0:c>
      <ns0:c r="E41" s="6" t="n">
        <ns0:f>'Q2_逐箱交付'!D41</ns0:f>
        <ns0:v>6168.054974070438</ns0:v>
      </ns0:c>
      <ns0:c r="F41" s="6" t="n">
        <ns0:v>10800</ns0:v>
      </ns0:c>
      <ns0:c r="G41" s="7" t="b">
        <ns0:v>1</ns0:v>
      </ns0:c>
      <ns0:c r="H41" s="6" t="n">
        <ns0:v>10800</ns0:v>
      </ns0:c>
      <ns0:c r="I41" s="7" t="b">
        <ns0:v>1</ns0:v>
      </ns0:c>
      <ns0:c r="J41" s="6" t="n">
        <ns0:v>16</ns0:v>
      </ns0:c>
      <ns0:c r="K41" s="6" t="n">
        <ns0:f>IF(G41,H41-E41,"")</ns0:f>
        <ns0:v>4631.945025929562</ns0:v>
      </ns0:c>
      <ns0:c r="L41" s="6" t="n">
        <ns0:f>MAX(0,E41-F41)</ns0:f>
        <ns0:v>0.0</ns0:v>
      </ns0:c>
      <ns0:c r="M41" s="6" t="n">
        <ns0:f>IF(G41,0,J41)</ns0:f>
        <ns0:v>0.0</ns0:v>
      </ns0:c>
      <ns0:c r="N41" s="6" t="n">
        <ns0:f>M41*L41</ns0:f>
        <ns0:v>0.0</ns0:v>
      </ns0:c>
      <ns0:c r="O41" s="6" t="n">
        <ns0:f>IF(P41,0,J41)</ns0:f>
        <ns0:v>0.0</ns0:v>
      </ns0:c>
      <ns0:c r="P41" s="7" t="b">
        <ns0:v>1</ns0:v>
      </ns0:c>
    </ns0:row>
    <ns0:row r="42" ht="25" customHeight="1">
      <ns0:c r="A42" s="2" t="inlineStr">
        <ns0:is>
          <ns0:t>S005-WAT-01</ns0:t>
        </ns0:is>
      </ns0:c>
      <ns0:c r="B42" s="2" t="inlineStr">
        <ns0:is>
          <ns0:t>Q2-0023</ns0:t>
        </ns0:is>
      </ns0:c>
      <ns0:c r="C42" s="2" t="inlineStr">
        <ns0:is>
          <ns0:t>S005</ns0:t>
        </ns0:is>
      </ns0:c>
      <ns0:c r="D42" s="2" t="inlineStr">
        <ns0:is>
          <ns0:t>饮用水</ns0:t>
        </ns0:is>
      </ns0:c>
      <ns0:c r="E42" s="6" t="n">
        <ns0:f>'Q2_逐箱交付'!D42</ns0:f>
        <ns0:v>6168.054974070438</ns0:v>
      </ns0:c>
      <ns0:c r="F42" s="6" t="n">
        <ns0:v>10800</ns0:v>
      </ns0:c>
      <ns0:c r="G42" s="7" t="b">
        <ns0:v>1</ns0:v>
      </ns0:c>
      <ns0:c r="H42" s="6" t="n">
        <ns0:v>10800</ns0:v>
      </ns0:c>
      <ns0:c r="I42" s="7" t="b">
        <ns0:v>1</ns0:v>
      </ns0:c>
      <ns0:c r="J42" s="6" t="n">
        <ns0:v>8</ns0:v>
      </ns0:c>
      <ns0:c r="K42" s="6" t="n">
        <ns0:f>IF(G42,H42-E42,"")</ns0:f>
        <ns0:v>4631.945025929562</ns0:v>
      </ns0:c>
      <ns0:c r="L42" s="6" t="n">
        <ns0:f>MAX(0,E42-F42)</ns0:f>
        <ns0:v>0.0</ns0:v>
      </ns0:c>
      <ns0:c r="M42" s="6" t="n">
        <ns0:f>IF(G42,0,J42)</ns0:f>
        <ns0:v>0.0</ns0:v>
      </ns0:c>
      <ns0:c r="N42" s="6" t="n">
        <ns0:f>M42*L42</ns0:f>
        <ns0:v>0.0</ns0:v>
      </ns0:c>
      <ns0:c r="O42" s="6" t="n">
        <ns0:f>IF(P42,0,J42)</ns0:f>
        <ns0:v>8.0</ns0:v>
      </ns0:c>
      <ns0:c r="P42" s="7" t="b">
        <ns0:v>0</ns0:v>
      </ns0:c>
    </ns0:row>
    <ns0:row r="43" ht="25" customHeight="1">
      <ns0:c r="A43" s="2" t="inlineStr">
        <ns0:is>
          <ns0:t>S005-WAT-02</ns0:t>
        </ns0:is>
      </ns0:c>
      <ns0:c r="B43" s="2" t="inlineStr">
        <ns0:is>
          <ns0:t>Q2-0023</ns0:t>
        </ns0:is>
      </ns0:c>
      <ns0:c r="C43" s="2" t="inlineStr">
        <ns0:is>
          <ns0:t>S005</ns0:t>
        </ns0:is>
      </ns0:c>
      <ns0:c r="D43" s="2" t="inlineStr">
        <ns0:is>
          <ns0:t>饮用水</ns0:t>
        </ns0:is>
      </ns0:c>
      <ns0:c r="E43" s="6" t="n">
        <ns0:f>'Q2_逐箱交付'!D43</ns0:f>
        <ns0:v>6168.054974070438</ns0:v>
      </ns0:c>
      <ns0:c r="F43" s="6" t="n">
        <ns0:v>10800</ns0:v>
      </ns0:c>
      <ns0:c r="G43" s="7" t="b">
        <ns0:v>0</ns0:v>
      </ns0:c>
      <ns0:c r="H43" s="7" t="n"/>
      <ns0:c r="I43" s="7" t="b">
        <ns0:v>0</ns0:v>
      </ns0:c>
      <ns0:c r="J43" s="6" t="n">
        <ns0:v>8</ns0:v>
      </ns0:c>
      <ns0:c r="K43" s="6" t="str">
        <ns0:f>IF(G43,H43-E43,"")</ns0:f>
        <ns0:v/>
      </ns0:c>
      <ns0:c r="L43" s="6" t="n">
        <ns0:f>MAX(0,E43-F43)</ns0:f>
        <ns0:v>0.0</ns0:v>
      </ns0:c>
      <ns0:c r="M43" s="6" t="n">
        <ns0:f>IF(G43,0,J43)</ns0:f>
        <ns0:v>8.0</ns0:v>
      </ns0:c>
      <ns0:c r="N43" s="6" t="n">
        <ns0:f>M43*L43</ns0:f>
        <ns0:v>0.0</ns0:v>
      </ns0:c>
      <ns0:c r="O43" s="6" t="n">
        <ns0:f>IF(P43,0,J43)</ns0:f>
        <ns0:v>8.0</ns0:v>
      </ns0:c>
      <ns0:c r="P43" s="7" t="b">
        <ns0:v>0</ns0:v>
      </ns0:c>
    </ns0:row>
    <ns0:row r="44" ht="25" customHeight="1">
      <ns0:c r="A44" s="2" t="inlineStr">
        <ns0:is>
          <ns0:t>S005-WAT-03</ns0:t>
        </ns0:is>
      </ns0:c>
      <ns0:c r="B44" s="2" t="inlineStr">
        <ns0:is>
          <ns0:t>Q2-0023</ns0:t>
        </ns0:is>
      </ns0:c>
      <ns0:c r="C44" s="2" t="inlineStr">
        <ns0:is>
          <ns0:t>S005</ns0:t>
        </ns0:is>
      </ns0:c>
      <ns0:c r="D44" s="2" t="inlineStr">
        <ns0:is>
          <ns0:t>饮用水</ns0:t>
        </ns0:is>
      </ns0:c>
      <ns0:c r="E44" s="6" t="n">
        <ns0:f>'Q2_逐箱交付'!D44</ns0:f>
        <ns0:v>6168.054974070438</ns0:v>
      </ns0:c>
      <ns0:c r="F44" s="6" t="n">
        <ns0:v>10800</ns0:v>
      </ns0:c>
      <ns0:c r="G44" s="7" t="b">
        <ns0:v>0</ns0:v>
      </ns0:c>
      <ns0:c r="H44" s="7" t="n"/>
      <ns0:c r="I44" s="7" t="b">
        <ns0:v>0</ns0:v>
      </ns0:c>
      <ns0:c r="J44" s="6" t="n">
        <ns0:v>8</ns0:v>
      </ns0:c>
      <ns0:c r="K44" s="6" t="str">
        <ns0:f>IF(G44,H44-E44,"")</ns0:f>
        <ns0:v/>
      </ns0:c>
      <ns0:c r="L44" s="6" t="n">
        <ns0:f>MAX(0,E44-F44)</ns0:f>
        <ns0:v>0.0</ns0:v>
      </ns0:c>
      <ns0:c r="M44" s="6" t="n">
        <ns0:f>IF(G44,0,J44)</ns0:f>
        <ns0:v>8.0</ns0:v>
      </ns0:c>
      <ns0:c r="N44" s="6" t="n">
        <ns0:f>M44*L44</ns0:f>
        <ns0:v>0.0</ns0:v>
      </ns0:c>
      <ns0:c r="O44" s="6" t="n">
        <ns0:f>IF(P44,0,J44)</ns0:f>
        <ns0:v>8.0</ns0:v>
      </ns0:c>
      <ns0:c r="P44" s="7" t="b">
        <ns0:v>0</ns0:v>
      </ns0:c>
    </ns0:row>
    <ns0:row r="45" ht="25" customHeight="1">
      <ns0:c r="A45" s="2" t="inlineStr">
        <ns0:is>
          <ns0:t>S006-FOD-01</ns0:t>
        </ns0:is>
      </ns0:c>
      <ns0:c r="B45" s="2" t="inlineStr">
        <ns0:is>
          <ns0:t>Q2-0015</ns0:t>
        </ns0:is>
      </ns0:c>
      <ns0:c r="C45" s="2" t="inlineStr">
        <ns0:is>
          <ns0:t>S006</ns0:t>
        </ns0:is>
      </ns0:c>
      <ns0:c r="D45" s="2" t="inlineStr">
        <ns0:is>
          <ns0:t>应急食品</ns0:t>
        </ns0:is>
      </ns0:c>
      <ns0:c r="E45" s="6" t="n">
        <ns0:f>'Q2_逐箱交付'!D45</ns0:f>
        <ns0:v>3151.351261420347</ns0:v>
      </ns0:c>
      <ns0:c r="F45" s="6" t="n">
        <ns0:v>7200</ns0:v>
      </ns0:c>
      <ns0:c r="G45" s="7" t="b">
        <ns0:v>0</ns0:v>
      </ns0:c>
      <ns0:c r="H45" s="7" t="n"/>
      <ns0:c r="I45" s="7" t="b">
        <ns0:v>0</ns0:v>
      </ns0:c>
      <ns0:c r="J45" s="6" t="n">
        <ns0:v>10</ns0:v>
      </ns0:c>
      <ns0:c r="K45" s="6" t="str">
        <ns0:f>IF(G45,H45-E45,"")</ns0:f>
        <ns0:v/>
      </ns0:c>
      <ns0:c r="L45" s="6" t="n">
        <ns0:f>MAX(0,E45-F45)</ns0:f>
        <ns0:v>0.0</ns0:v>
      </ns0:c>
      <ns0:c r="M45" s="6" t="n">
        <ns0:f>IF(G45,0,J45)</ns0:f>
        <ns0:v>10.0</ns0:v>
      </ns0:c>
      <ns0:c r="N45" s="6" t="n">
        <ns0:f>M45*L45</ns0:f>
        <ns0:v>0.0</ns0:v>
      </ns0:c>
      <ns0:c r="O45" s="6" t="n">
        <ns0:f>IF(P45,0,J45)</ns0:f>
        <ns0:v>10.0</ns0:v>
      </ns0:c>
      <ns0:c r="P45" s="7" t="b">
        <ns0:v>0</ns0:v>
      </ns0:c>
    </ns0:row>
    <ns0:row r="46" ht="25" customHeight="1">
      <ns0:c r="A46" s="2" t="inlineStr">
        <ns0:is>
          <ns0:t>S006-HYG-01</ns0:t>
        </ns0:is>
      </ns0:c>
      <ns0:c r="B46" s="2" t="inlineStr">
        <ns0:is>
          <ns0:t>Q2-0025</ns0:t>
        </ns0:is>
      </ns0:c>
      <ns0:c r="C46" s="2" t="inlineStr">
        <ns0:is>
          <ns0:t>S006</ns0:t>
        </ns0:is>
      </ns0:c>
      <ns0:c r="D46" s="2" t="inlineStr">
        <ns0:is>
          <ns0:t>生活卫生用品</ns0:t>
        </ns0:is>
      </ns0:c>
      <ns0:c r="E46" s="6" t="n">
        <ns0:f>'Q2_逐箱交付'!D46</ns0:f>
        <ns0:v>5935.1829807811755</ns0:v>
      </ns0:c>
      <ns0:c r="F46" s="6" t="n">
        <ns0:v>10800</ns0:v>
      </ns0:c>
      <ns0:c r="G46" s="7" t="b">
        <ns0:v>0</ns0:v>
      </ns0:c>
      <ns0:c r="H46" s="7" t="n"/>
      <ns0:c r="I46" s="7" t="b">
        <ns0:v>0</ns0:v>
      </ns0:c>
      <ns0:c r="J46" s="6" t="n">
        <ns0:v>8</ns0:v>
      </ns0:c>
      <ns0:c r="K46" s="6" t="str">
        <ns0:f>IF(G46,H46-E46,"")</ns0:f>
        <ns0:v/>
      </ns0:c>
      <ns0:c r="L46" s="6" t="n">
        <ns0:f>MAX(0,E46-F46)</ns0:f>
        <ns0:v>0.0</ns0:v>
      </ns0:c>
      <ns0:c r="M46" s="6" t="n">
        <ns0:f>IF(G46,0,J46)</ns0:f>
        <ns0:v>8.0</ns0:v>
      </ns0:c>
      <ns0:c r="N46" s="6" t="n">
        <ns0:f>M46*L46</ns0:f>
        <ns0:v>0.0</ns0:v>
      </ns0:c>
      <ns0:c r="O46" s="6" t="n">
        <ns0:f>IF(P46,0,J46)</ns0:f>
        <ns0:v>8.0</ns0:v>
      </ns0:c>
      <ns0:c r="P46" s="7" t="b">
        <ns0:v>0</ns0:v>
      </ns0:c>
    </ns0:row>
    <ns0:row r="47" ht="25" customHeight="1">
      <ns0:c r="A47" s="2" t="inlineStr">
        <ns0:is>
          <ns0:t>S006-MED-01</ns0:t>
        </ns0:is>
      </ns0:c>
      <ns0:c r="B47" s="2" t="inlineStr">
        <ns0:is>
          <ns0:t>Q2-0003</ns0:t>
        </ns0:is>
      </ns0:c>
      <ns0:c r="C47" s="2" t="inlineStr">
        <ns0:is>
          <ns0:t>S006</ns0:t>
        </ns0:is>
      </ns0:c>
      <ns0:c r="D47" s="2" t="inlineStr">
        <ns0:is>
          <ns0:t>医疗物资</ns0:t>
        </ns0:is>
      </ns0:c>
      <ns0:c r="E47" s="6" t="n">
        <ns0:f>'Q2_逐箱交付'!D47</ns0:f>
        <ns0:v>935.5016532232471</ns0:v>
      </ns0:c>
      <ns0:c r="F47" s="6" t="n">
        <ns0:v>3600</ns0:v>
      </ns0:c>
      <ns0:c r="G47" s="7" t="b">
        <ns0:v>1</ns0:v>
      </ns0:c>
      <ns0:c r="H47" s="6" t="n">
        <ns0:v>3600</ns0:v>
      </ns0:c>
      <ns0:c r="I47" s="7" t="b">
        <ns0:v>1</ns0:v>
      </ns0:c>
      <ns0:c r="J47" s="6" t="n">
        <ns0:v>24</ns0:v>
      </ns0:c>
      <ns0:c r="K47" s="6" t="n">
        <ns0:f>IF(G47,H47-E47,"")</ns0:f>
        <ns0:v>2664.498346776753</ns0:v>
      </ns0:c>
      <ns0:c r="L47" s="6" t="n">
        <ns0:f>MAX(0,E47-F47)</ns0:f>
        <ns0:v>0.0</ns0:v>
      </ns0:c>
      <ns0:c r="M47" s="6" t="n">
        <ns0:f>IF(G47,0,J47)</ns0:f>
        <ns0:v>0.0</ns0:v>
      </ns0:c>
      <ns0:c r="N47" s="6" t="n">
        <ns0:f>M47*L47</ns0:f>
        <ns0:v>0.0</ns0:v>
      </ns0:c>
      <ns0:c r="O47" s="6" t="n">
        <ns0:f>IF(P47,0,J47)</ns0:f>
        <ns0:v>0.0</ns0:v>
      </ns0:c>
      <ns0:c r="P47" s="7" t="b">
        <ns0:v>1</ns0:v>
      </ns0:c>
    </ns0:row>
    <ns0:row r="48" ht="25" customHeight="1">
      <ns0:c r="A48" s="2" t="inlineStr">
        <ns0:is>
          <ns0:t>S006-WAT-01</ns0:t>
        </ns0:is>
      </ns0:c>
      <ns0:c r="B48" s="2" t="inlineStr">
        <ns0:is>
          <ns0:t>Q2-0005</ns0:t>
        </ns0:is>
      </ns0:c>
      <ns0:c r="C48" s="2" t="inlineStr">
        <ns0:is>
          <ns0:t>S006</ns0:t>
        </ns0:is>
      </ns0:c>
      <ns0:c r="D48" s="2" t="inlineStr">
        <ns0:is>
          <ns0:t>饮用水</ns0:t>
        </ns0:is>
      </ns0:c>
      <ns0:c r="E48" s="6" t="n">
        <ns0:f>'Q2_逐箱交付'!D48</ns0:f>
        <ns0:v>822.3983390173997</ns0:v>
      </ns0:c>
      <ns0:c r="F48" s="6" t="n">
        <ns0:v>3600</ns0:v>
      </ns0:c>
      <ns0:c r="G48" s="7" t="b">
        <ns0:v>1</ns0:v>
      </ns0:c>
      <ns0:c r="H48" s="6" t="n">
        <ns0:v>3600</ns0:v>
      </ns0:c>
      <ns0:c r="I48" s="7" t="b">
        <ns0:v>1</ns0:v>
      </ns0:c>
      <ns0:c r="J48" s="6" t="n">
        <ns0:v>12</ns0:v>
      </ns0:c>
      <ns0:c r="K48" s="6" t="n">
        <ns0:f>IF(G48,H48-E48,"")</ns0:f>
        <ns0:v>2777.6016609826</ns0:v>
      </ns0:c>
      <ns0:c r="L48" s="6" t="n">
        <ns0:f>MAX(0,E48-F48)</ns0:f>
        <ns0:v>0.0</ns0:v>
      </ns0:c>
      <ns0:c r="M48" s="6" t="n">
        <ns0:f>IF(G48,0,J48)</ns0:f>
        <ns0:v>0.0</ns0:v>
      </ns0:c>
      <ns0:c r="N48" s="6" t="n">
        <ns0:f>M48*L48</ns0:f>
        <ns0:v>0.0</ns0:v>
      </ns0:c>
      <ns0:c r="O48" s="6" t="n">
        <ns0:f>IF(P48,0,J48)</ns0:f>
        <ns0:v>12.0</ns0:v>
      </ns0:c>
      <ns0:c r="P48" s="7" t="b">
        <ns0:v>0</ns0:v>
      </ns0:c>
    </ns0:row>
    <ns0:row r="49" ht="25" customHeight="1">
      <ns0:c r="A49" s="2" t="inlineStr">
        <ns0:is>
          <ns0:t>S006-WAT-02</ns0:t>
        </ns0:is>
      </ns0:c>
      <ns0:c r="B49" s="2" t="inlineStr">
        <ns0:is>
          <ns0:t>Q2-0015</ns0:t>
        </ns0:is>
      </ns0:c>
      <ns0:c r="C49" s="2" t="inlineStr">
        <ns0:is>
          <ns0:t>S006</ns0:t>
        </ns0:is>
      </ns0:c>
      <ns0:c r="D49" s="2" t="inlineStr">
        <ns0:is>
          <ns0:t>饮用水</ns0:t>
        </ns0:is>
      </ns0:c>
      <ns0:c r="E49" s="6" t="n">
        <ns0:f>'Q2_逐箱交付'!D49</ns0:f>
        <ns0:v>3151.351261420347</ns0:v>
      </ns0:c>
      <ns0:c r="F49" s="6" t="n">
        <ns0:v>3600</ns0:v>
      </ns0:c>
      <ns0:c r="G49" s="7" t="b">
        <ns0:v>0</ns0:v>
      </ns0:c>
      <ns0:c r="H49" s="7" t="n"/>
      <ns0:c r="I49" s="7" t="b">
        <ns0:v>0</ns0:v>
      </ns0:c>
      <ns0:c r="J49" s="6" t="n">
        <ns0:v>12</ns0:v>
      </ns0:c>
      <ns0:c r="K49" s="6" t="str">
        <ns0:f>IF(G49,H49-E49,"")</ns0:f>
        <ns0:v/>
      </ns0:c>
      <ns0:c r="L49" s="6" t="n">
        <ns0:f>MAX(0,E49-F49)</ns0:f>
        <ns0:v>0.0</ns0:v>
      </ns0:c>
      <ns0:c r="M49" s="6" t="n">
        <ns0:f>IF(G49,0,J49)</ns0:f>
        <ns0:v>12.0</ns0:v>
      </ns0:c>
      <ns0:c r="N49" s="6" t="n">
        <ns0:f>M49*L49</ns0:f>
        <ns0:v>0.0</ns0:v>
      </ns0:c>
      <ns0:c r="O49" s="6" t="n">
        <ns0:f>IF(P49,0,J49)</ns0:f>
        <ns0:v>12.0</ns0:v>
      </ns0:c>
      <ns0:c r="P49" s="7" t="b">
        <ns0:v>0</ns0:v>
      </ns0:c>
    </ns0:row>
    <ns0:row r="50" ht="25" customHeight="1">
      <ns0:c r="A50" s="2" t="inlineStr">
        <ns0:is>
          <ns0:t>S006-WAT-03</ns0:t>
        </ns0:is>
      </ns0:c>
      <ns0:c r="B50" s="2" t="inlineStr">
        <ns0:is>
          <ns0:t>Q2-0003</ns0:t>
        </ns0:is>
      </ns0:c>
      <ns0:c r="C50" s="2" t="inlineStr">
        <ns0:is>
          <ns0:t>S006</ns0:t>
        </ns0:is>
      </ns0:c>
      <ns0:c r="D50" s="2" t="inlineStr">
        <ns0:is>
          <ns0:t>饮用水</ns0:t>
        </ns0:is>
      </ns0:c>
      <ns0:c r="E50" s="6" t="n">
        <ns0:f>'Q2_逐箱交付'!D50</ns0:f>
        <ns0:v>935.5016532232471</ns0:v>
      </ns0:c>
      <ns0:c r="F50" s="6" t="n">
        <ns0:v>3600</ns0:v>
      </ns0:c>
      <ns0:c r="G50" s="7" t="b">
        <ns0:v>0</ns0:v>
      </ns0:c>
      <ns0:c r="H50" s="7" t="n"/>
      <ns0:c r="I50" s="7" t="b">
        <ns0:v>0</ns0:v>
      </ns0:c>
      <ns0:c r="J50" s="6" t="n">
        <ns0:v>12</ns0:v>
      </ns0:c>
      <ns0:c r="K50" s="6" t="str">
        <ns0:f>IF(G50,H50-E50,"")</ns0:f>
        <ns0:v/>
      </ns0:c>
      <ns0:c r="L50" s="6" t="n">
        <ns0:f>MAX(0,E50-F50)</ns0:f>
        <ns0:v>0.0</ns0:v>
      </ns0:c>
      <ns0:c r="M50" s="6" t="n">
        <ns0:f>IF(G50,0,J50)</ns0:f>
        <ns0:v>12.0</ns0:v>
      </ns0:c>
      <ns0:c r="N50" s="6" t="n">
        <ns0:f>M50*L50</ns0:f>
        <ns0:v>0.0</ns0:v>
      </ns0:c>
      <ns0:c r="O50" s="6" t="n">
        <ns0:f>IF(P50,0,J50)</ns0:f>
        <ns0:v>12.0</ns0:v>
      </ns0:c>
      <ns0:c r="P50" s="7" t="b">
        <ns0:v>0</ns0:v>
      </ns0:c>
    </ns0:row>
    <ns0:row r="51" ht="25" customHeight="1">
      <ns0:c r="A51" s="2" t="inlineStr">
        <ns0:is>
          <ns0:t>S007-FOD-01</ns0:t>
        </ns0:is>
      </ns0:c>
      <ns0:c r="B51" s="2" t="inlineStr">
        <ns0:is>
          <ns0:t>Q2-0006</ns0:t>
        </ns0:is>
      </ns0:c>
      <ns0:c r="C51" s="2" t="inlineStr">
        <ns0:is>
          <ns0:t>S007</ns0:t>
        </ns0:is>
      </ns0:c>
      <ns0:c r="D51" s="2" t="inlineStr">
        <ns0:is>
          <ns0:t>应急食品</ns0:t>
        </ns0:is>
      </ns0:c>
      <ns0:c r="E51" s="6" t="n">
        <ns0:f>'Q2_逐箱交付'!D51</ns0:f>
        <ns0:v>1921.597401938587</ns0:v>
      </ns0:c>
      <ns0:c r="F51" s="6" t="n">
        <ns0:v>7200</ns0:v>
      </ns0:c>
      <ns0:c r="G51" s="7" t="b">
        <ns0:v>0</ns0:v>
      </ns0:c>
      <ns0:c r="H51" s="7" t="n"/>
      <ns0:c r="I51" s="7" t="b">
        <ns0:v>0</ns0:v>
      </ns0:c>
      <ns0:c r="J51" s="6" t="n">
        <ns0:v>10</ns0:v>
      </ns0:c>
      <ns0:c r="K51" s="6" t="str">
        <ns0:f>IF(G51,H51-E51,"")</ns0:f>
        <ns0:v/>
      </ns0:c>
      <ns0:c r="L51" s="6" t="n">
        <ns0:f>MAX(0,E51-F51)</ns0:f>
        <ns0:v>0.0</ns0:v>
      </ns0:c>
      <ns0:c r="M51" s="6" t="n">
        <ns0:f>IF(G51,0,J51)</ns0:f>
        <ns0:v>10.0</ns0:v>
      </ns0:c>
      <ns0:c r="N51" s="6" t="n">
        <ns0:f>M51*L51</ns0:f>
        <ns0:v>0.0</ns0:v>
      </ns0:c>
      <ns0:c r="O51" s="6" t="n">
        <ns0:f>IF(P51,0,J51)</ns0:f>
        <ns0:v>10.0</ns0:v>
      </ns0:c>
      <ns0:c r="P51" s="7" t="b">
        <ns0:v>0</ns0:v>
      </ns0:c>
    </ns0:row>
    <ns0:row r="52" ht="25" customHeight="1">
      <ns0:c r="A52" s="2" t="inlineStr">
        <ns0:is>
          <ns0:t>S007-HYG-01</ns0:t>
        </ns0:is>
      </ns0:c>
      <ns0:c r="B52" s="2" t="inlineStr">
        <ns0:is>
          <ns0:t>Q2-0006</ns0:t>
        </ns0:is>
      </ns0:c>
      <ns0:c r="C52" s="2" t="inlineStr">
        <ns0:is>
          <ns0:t>S007</ns0:t>
        </ns0:is>
      </ns0:c>
      <ns0:c r="D52" s="2" t="inlineStr">
        <ns0:is>
          <ns0:t>生活卫生用品</ns0:t>
        </ns0:is>
      </ns0:c>
      <ns0:c r="E52" s="6" t="n">
        <ns0:f>'Q2_逐箱交付'!D52</ns0:f>
        <ns0:v>1921.597401938587</ns0:v>
      </ns0:c>
      <ns0:c r="F52" s="6" t="n">
        <ns0:v>10800</ns0:v>
      </ns0:c>
      <ns0:c r="G52" s="7" t="b">
        <ns0:v>0</ns0:v>
      </ns0:c>
      <ns0:c r="H52" s="7" t="n"/>
      <ns0:c r="I52" s="7" t="b">
        <ns0:v>0</ns0:v>
      </ns0:c>
      <ns0:c r="J52" s="6" t="n">
        <ns0:v>8</ns0:v>
      </ns0:c>
      <ns0:c r="K52" s="6" t="str">
        <ns0:f>IF(G52,H52-E52,"")</ns0:f>
        <ns0:v/>
      </ns0:c>
      <ns0:c r="L52" s="6" t="n">
        <ns0:f>MAX(0,E52-F52)</ns0:f>
        <ns0:v>0.0</ns0:v>
      </ns0:c>
      <ns0:c r="M52" s="6" t="n">
        <ns0:f>IF(G52,0,J52)</ns0:f>
        <ns0:v>8.0</ns0:v>
      </ns0:c>
      <ns0:c r="N52" s="6" t="n">
        <ns0:f>M52*L52</ns0:f>
        <ns0:v>0.0</ns0:v>
      </ns0:c>
      <ns0:c r="O52" s="6" t="n">
        <ns0:f>IF(P52,0,J52)</ns0:f>
        <ns0:v>8.0</ns0:v>
      </ns0:c>
      <ns0:c r="P52" s="7" t="b">
        <ns0:v>0</ns0:v>
      </ns0:c>
    </ns0:row>
    <ns0:row r="53" ht="25" customHeight="1">
      <ns0:c r="A53" s="2" t="inlineStr">
        <ns0:is>
          <ns0:t>S007-MED-01</ns0:t>
        </ns0:is>
      </ns0:c>
      <ns0:c r="B53" s="2" t="inlineStr">
        <ns0:is>
          <ns0:t>Q2-0006</ns0:t>
        </ns0:is>
      </ns0:c>
      <ns0:c r="C53" s="2" t="inlineStr">
        <ns0:is>
          <ns0:t>S007</ns0:t>
        </ns0:is>
      </ns0:c>
      <ns0:c r="D53" s="2" t="inlineStr">
        <ns0:is>
          <ns0:t>医疗物资</ns0:t>
        </ns0:is>
      </ns0:c>
      <ns0:c r="E53" s="6" t="n">
        <ns0:f>'Q2_逐箱交付'!D53</ns0:f>
        <ns0:v>1921.597401938587</ns0:v>
      </ns0:c>
      <ns0:c r="F53" s="6" t="n">
        <ns0:v>3600</ns0:v>
      </ns0:c>
      <ns0:c r="G53" s="7" t="b">
        <ns0:v>1</ns0:v>
      </ns0:c>
      <ns0:c r="H53" s="6" t="n">
        <ns0:v>3600</ns0:v>
      </ns0:c>
      <ns0:c r="I53" s="7" t="b">
        <ns0:v>1</ns0:v>
      </ns0:c>
      <ns0:c r="J53" s="6" t="n">
        <ns0:v>24</ns0:v>
      </ns0:c>
      <ns0:c r="K53" s="6" t="n">
        <ns0:f>IF(G53,H53-E53,"")</ns0:f>
        <ns0:v>1678.402598061413</ns0:v>
      </ns0:c>
      <ns0:c r="L53" s="6" t="n">
        <ns0:f>MAX(0,E53-F53)</ns0:f>
        <ns0:v>0.0</ns0:v>
      </ns0:c>
      <ns0:c r="M53" s="6" t="n">
        <ns0:f>IF(G53,0,J53)</ns0:f>
        <ns0:v>0.0</ns0:v>
      </ns0:c>
      <ns0:c r="N53" s="6" t="n">
        <ns0:f>M53*L53</ns0:f>
        <ns0:v>0.0</ns0:v>
      </ns0:c>
      <ns0:c r="O53" s="6" t="n">
        <ns0:f>IF(P53,0,J53)</ns0:f>
        <ns0:v>0.0</ns0:v>
      </ns0:c>
      <ns0:c r="P53" s="7" t="b">
        <ns0:v>1</ns0:v>
      </ns0:c>
    </ns0:row>
    <ns0:row r="54" ht="25" customHeight="1">
      <ns0:c r="A54" s="2" t="inlineStr">
        <ns0:is>
          <ns0:t>S007-WAT-01</ns0:t>
        </ns0:is>
      </ns0:c>
      <ns0:c r="B54" s="2" t="inlineStr">
        <ns0:is>
          <ns0:t>Q2-0006</ns0:t>
        </ns0:is>
      </ns0:c>
      <ns0:c r="C54" s="2" t="inlineStr">
        <ns0:is>
          <ns0:t>S007</ns0:t>
        </ns0:is>
      </ns0:c>
      <ns0:c r="D54" s="2" t="inlineStr">
        <ns0:is>
          <ns0:t>饮用水</ns0:t>
        </ns0:is>
      </ns0:c>
      <ns0:c r="E54" s="6" t="n">
        <ns0:f>'Q2_逐箱交付'!D54</ns0:f>
        <ns0:v>1921.597401938587</ns0:v>
      </ns0:c>
      <ns0:c r="F54" s="6" t="n">
        <ns0:v>3600</ns0:v>
      </ns0:c>
      <ns0:c r="G54" s="7" t="b">
        <ns0:v>1</ns0:v>
      </ns0:c>
      <ns0:c r="H54" s="6" t="n">
        <ns0:v>3600</ns0:v>
      </ns0:c>
      <ns0:c r="I54" s="7" t="b">
        <ns0:v>1</ns0:v>
      </ns0:c>
      <ns0:c r="J54" s="6" t="n">
        <ns0:v>12</ns0:v>
      </ns0:c>
      <ns0:c r="K54" s="6" t="n">
        <ns0:f>IF(G54,H54-E54,"")</ns0:f>
        <ns0:v>1678.402598061413</ns0:v>
      </ns0:c>
      <ns0:c r="L54" s="6" t="n">
        <ns0:f>MAX(0,E54-F54)</ns0:f>
        <ns0:v>0.0</ns0:v>
      </ns0:c>
      <ns0:c r="M54" s="6" t="n">
        <ns0:f>IF(G54,0,J54)</ns0:f>
        <ns0:v>0.0</ns0:v>
      </ns0:c>
      <ns0:c r="N54" s="6" t="n">
        <ns0:f>M54*L54</ns0:f>
        <ns0:v>0.0</ns0:v>
      </ns0:c>
      <ns0:c r="O54" s="6" t="n">
        <ns0:f>IF(P54,0,J54)</ns0:f>
        <ns0:v>12.0</ns0:v>
      </ns0:c>
      <ns0:c r="P54" s="7" t="b">
        <ns0:v>0</ns0:v>
      </ns0:c>
    </ns0:row>
    <ns0:row r="55" ht="25" customHeight="1">
      <ns0:c r="A55" s="2" t="inlineStr">
        <ns0:is>
          <ns0:t>S007-WAT-02</ns0:t>
        </ns0:is>
      </ns0:c>
      <ns0:c r="B55" s="2" t="inlineStr">
        <ns0:is>
          <ns0:t>Q2-0006</ns0:t>
        </ns0:is>
      </ns0:c>
      <ns0:c r="C55" s="2" t="inlineStr">
        <ns0:is>
          <ns0:t>S007</ns0:t>
        </ns0:is>
      </ns0:c>
      <ns0:c r="D55" s="2" t="inlineStr">
        <ns0:is>
          <ns0:t>饮用水</ns0:t>
        </ns0:is>
      </ns0:c>
      <ns0:c r="E55" s="6" t="n">
        <ns0:f>'Q2_逐箱交付'!D55</ns0:f>
        <ns0:v>1921.597401938587</ns0:v>
      </ns0:c>
      <ns0:c r="F55" s="6" t="n">
        <ns0:v>3600</ns0:v>
      </ns0:c>
      <ns0:c r="G55" s="7" t="b">
        <ns0:v>0</ns0:v>
      </ns0:c>
      <ns0:c r="H55" s="7" t="n"/>
      <ns0:c r="I55" s="7" t="b">
        <ns0:v>0</ns0:v>
      </ns0:c>
      <ns0:c r="J55" s="6" t="n">
        <ns0:v>12</ns0:v>
      </ns0:c>
      <ns0:c r="K55" s="6" t="str">
        <ns0:f>IF(G55,H55-E55,"")</ns0:f>
        <ns0:v/>
      </ns0:c>
      <ns0:c r="L55" s="6" t="n">
        <ns0:f>MAX(0,E55-F55)</ns0:f>
        <ns0:v>0.0</ns0:v>
      </ns0:c>
      <ns0:c r="M55" s="6" t="n">
        <ns0:f>IF(G55,0,J55)</ns0:f>
        <ns0:v>12.0</ns0:v>
      </ns0:c>
      <ns0:c r="N55" s="6" t="n">
        <ns0:f>M55*L55</ns0:f>
        <ns0:v>0.0</ns0:v>
      </ns0:c>
      <ns0:c r="O55" s="6" t="n">
        <ns0:f>IF(P55,0,J55)</ns0:f>
        <ns0:v>12.0</ns0:v>
      </ns0:c>
      <ns0:c r="P55" s="7" t="b">
        <ns0:v>0</ns0:v>
      </ns0:c>
    </ns0:row>
    <ns0:row r="56" ht="25" customHeight="1">
      <ns0:c r="A56" s="2" t="inlineStr">
        <ns0:is>
          <ns0:t>S008-FOD-01</ns0:t>
        </ns0:is>
      </ns0:c>
      <ns0:c r="B56" s="2" t="inlineStr">
        <ns0:is>
          <ns0:t>Q2-0020</ns0:t>
        </ns0:is>
      </ns0:c>
      <ns0:c r="C56" s="2" t="inlineStr">
        <ns0:is>
          <ns0:t>S008</ns0:t>
        </ns0:is>
      </ns0:c>
      <ns0:c r="D56" s="2" t="inlineStr">
        <ns0:is>
          <ns0:t>应急食品</ns0:t>
        </ns0:is>
      </ns0:c>
      <ns0:c r="E56" s="6" t="n">
        <ns0:f>'Q2_逐箱交付'!D56</ns0:f>
        <ns0:v>5420.566830045055</ns0:v>
      </ns0:c>
      <ns0:c r="F56" s="6" t="n">
        <ns0:v>10800</ns0:v>
      </ns0:c>
      <ns0:c r="G56" s="7" t="b">
        <ns0:v>0</ns0:v>
      </ns0:c>
      <ns0:c r="H56" s="7" t="n"/>
      <ns0:c r="I56" s="7" t="b">
        <ns0:v>0</ns0:v>
      </ns0:c>
      <ns0:c r="J56" s="6" t="n">
        <ns0:v>8</ns0:v>
      </ns0:c>
      <ns0:c r="K56" s="6" t="str">
        <ns0:f>IF(G56,H56-E56,"")</ns0:f>
        <ns0:v/>
      </ns0:c>
      <ns0:c r="L56" s="6" t="n">
        <ns0:f>MAX(0,E56-F56)</ns0:f>
        <ns0:v>0.0</ns0:v>
      </ns0:c>
      <ns0:c r="M56" s="6" t="n">
        <ns0:f>IF(G56,0,J56)</ns0:f>
        <ns0:v>8.0</ns0:v>
      </ns0:c>
      <ns0:c r="N56" s="6" t="n">
        <ns0:f>M56*L56</ns0:f>
        <ns0:v>0.0</ns0:v>
      </ns0:c>
      <ns0:c r="O56" s="6" t="n">
        <ns0:f>IF(P56,0,J56)</ns0:f>
        <ns0:v>8.0</ns0:v>
      </ns0:c>
      <ns0:c r="P56" s="7" t="b">
        <ns0:v>0</ns0:v>
      </ns0:c>
    </ns0:row>
    <ns0:row r="57" ht="25" customHeight="1">
      <ns0:c r="A57" s="2" t="inlineStr">
        <ns0:is>
          <ns0:t>S008-HYG-01</ns0:t>
        </ns0:is>
      </ns0:c>
      <ns0:c r="B57" s="2" t="inlineStr">
        <ns0:is>
          <ns0:t>Q2-0017</ns0:t>
        </ns0:is>
      </ns0:c>
      <ns0:c r="C57" s="2" t="inlineStr">
        <ns0:is>
          <ns0:t>S008</ns0:t>
        </ns0:is>
      </ns0:c>
      <ns0:c r="D57" s="2" t="inlineStr">
        <ns0:is>
          <ns0:t>生活卫生用品</ns0:t>
        </ns0:is>
      </ns0:c>
      <ns0:c r="E57" s="6" t="n">
        <ns0:f>'Q2_逐箱交付'!D57</ns0:f>
        <ns0:v>3933.8210714028683</ns0:v>
      </ns0:c>
      <ns0:c r="F57" s="6" t="n">
        <ns0:v>14400</ns0:v>
      </ns0:c>
      <ns0:c r="G57" s="7" t="b">
        <ns0:v>0</ns0:v>
      </ns0:c>
      <ns0:c r="H57" s="7" t="n"/>
      <ns0:c r="I57" s="7" t="b">
        <ns0:v>0</ns0:v>
      </ns0:c>
      <ns0:c r="J57" s="6" t="n">
        <ns0:v>6</ns0:v>
      </ns0:c>
      <ns0:c r="K57" s="6" t="str">
        <ns0:f>IF(G57,H57-E57,"")</ns0:f>
        <ns0:v/>
      </ns0:c>
      <ns0:c r="L57" s="6" t="n">
        <ns0:f>MAX(0,E57-F57)</ns0:f>
        <ns0:v>0.0</ns0:v>
      </ns0:c>
      <ns0:c r="M57" s="6" t="n">
        <ns0:f>IF(G57,0,J57)</ns0:f>
        <ns0:v>6.0</ns0:v>
      </ns0:c>
      <ns0:c r="N57" s="6" t="n">
        <ns0:f>M57*L57</ns0:f>
        <ns0:v>0.0</ns0:v>
      </ns0:c>
      <ns0:c r="O57" s="6" t="n">
        <ns0:f>IF(P57,0,J57)</ns0:f>
        <ns0:v>6.0</ns0:v>
      </ns0:c>
      <ns0:c r="P57" s="7" t="b">
        <ns0:v>0</ns0:v>
      </ns0:c>
    </ns0:row>
    <ns0:row r="58" ht="25" customHeight="1">
      <ns0:c r="A58" s="2" t="inlineStr">
        <ns0:is>
          <ns0:t>S008-MED-01</ns0:t>
        </ns0:is>
      </ns0:c>
      <ns0:c r="B58" s="2" t="inlineStr">
        <ns0:is>
          <ns0:t>Q2-0020</ns0:t>
        </ns0:is>
      </ns0:c>
      <ns0:c r="C58" s="2" t="inlineStr">
        <ns0:is>
          <ns0:t>S008</ns0:t>
        </ns0:is>
      </ns0:c>
      <ns0:c r="D58" s="2" t="inlineStr">
        <ns0:is>
          <ns0:t>医疗物资</ns0:t>
        </ns0:is>
      </ns0:c>
      <ns0:c r="E58" s="6" t="n">
        <ns0:f>'Q2_逐箱交付'!D58</ns0:f>
        <ns0:v>5420.566830045055</ns0:v>
      </ns0:c>
      <ns0:c r="F58" s="6" t="n">
        <ns0:v>7200</ns0:v>
      </ns0:c>
      <ns0:c r="G58" s="7" t="b">
        <ns0:v>1</ns0:v>
      </ns0:c>
      <ns0:c r="H58" s="6" t="n">
        <ns0:v>7200</ns0:v>
      </ns0:c>
      <ns0:c r="I58" s="7" t="b">
        <ns0:v>1</ns0:v>
      </ns0:c>
      <ns0:c r="J58" s="6" t="n">
        <ns0:v>20</ns0:v>
      </ns0:c>
      <ns0:c r="K58" s="6" t="n">
        <ns0:f>IF(G58,H58-E58,"")</ns0:f>
        <ns0:v>1779.4331699549448</ns0:v>
      </ns0:c>
      <ns0:c r="L58" s="6" t="n">
        <ns0:f>MAX(0,E58-F58)</ns0:f>
        <ns0:v>0.0</ns0:v>
      </ns0:c>
      <ns0:c r="M58" s="6" t="n">
        <ns0:f>IF(G58,0,J58)</ns0:f>
        <ns0:v>0.0</ns0:v>
      </ns0:c>
      <ns0:c r="N58" s="6" t="n">
        <ns0:f>M58*L58</ns0:f>
        <ns0:v>0.0</ns0:v>
      </ns0:c>
      <ns0:c r="O58" s="6" t="n">
        <ns0:f>IF(P58,0,J58)</ns0:f>
        <ns0:v>0.0</ns0:v>
      </ns0:c>
      <ns0:c r="P58" s="7" t="b">
        <ns0:v>1</ns0:v>
      </ns0:c>
    </ns0:row>
    <ns0:row r="59" ht="25" customHeight="1">
      <ns0:c r="A59" s="2" t="inlineStr">
        <ns0:is>
          <ns0:t>S008-WAT-01</ns0:t>
        </ns0:is>
      </ns0:c>
      <ns0:c r="B59" s="2" t="inlineStr">
        <ns0:is>
          <ns0:t>Q2-0017</ns0:t>
        </ns0:is>
      </ns0:c>
      <ns0:c r="C59" s="2" t="inlineStr">
        <ns0:is>
          <ns0:t>S008</ns0:t>
        </ns0:is>
      </ns0:c>
      <ns0:c r="D59" s="2" t="inlineStr">
        <ns0:is>
          <ns0:t>饮用水</ns0:t>
        </ns0:is>
      </ns0:c>
      <ns0:c r="E59" s="6" t="n">
        <ns0:f>'Q2_逐箱交付'!D59</ns0:f>
        <ns0:v>3933.8210714028683</ns0:v>
      </ns0:c>
      <ns0:c r="F59" s="6" t="n">
        <ns0:v>7200</ns0:v>
      </ns0:c>
      <ns0:c r="G59" s="7" t="b">
        <ns0:v>1</ns0:v>
      </ns0:c>
      <ns0:c r="H59" s="6" t="n">
        <ns0:v>7200</ns0:v>
      </ns0:c>
      <ns0:c r="I59" s="7" t="b">
        <ns0:v>1</ns0:v>
      </ns0:c>
      <ns0:c r="J59" s="6" t="n">
        <ns0:v>10</ns0:v>
      </ns0:c>
      <ns0:c r="K59" s="6" t="n">
        <ns0:f>IF(G59,H59-E59,"")</ns0:f>
        <ns0:v>3266.1789285971317</ns0:v>
      </ns0:c>
      <ns0:c r="L59" s="6" t="n">
        <ns0:f>MAX(0,E59-F59)</ns0:f>
        <ns0:v>0.0</ns0:v>
      </ns0:c>
      <ns0:c r="M59" s="6" t="n">
        <ns0:f>IF(G59,0,J59)</ns0:f>
        <ns0:v>0.0</ns0:v>
      </ns0:c>
      <ns0:c r="N59" s="6" t="n">
        <ns0:f>M59*L59</ns0:f>
        <ns0:v>0.0</ns0:v>
      </ns0:c>
      <ns0:c r="O59" s="6" t="n">
        <ns0:f>IF(P59,0,J59)</ns0:f>
        <ns0:v>10.0</ns0:v>
      </ns0:c>
      <ns0:c r="P59" s="7" t="b">
        <ns0:v>0</ns0:v>
      </ns0:c>
    </ns0:row>
    <ns0:row r="60" ht="25" customHeight="1">
      <ns0:c r="A60" s="2" t="inlineStr">
        <ns0:is>
          <ns0:t>S008-WAT-02</ns0:t>
        </ns0:is>
      </ns0:c>
      <ns0:c r="B60" s="2" t="inlineStr">
        <ns0:is>
          <ns0:t>Q2-0022</ns0:t>
        </ns0:is>
      </ns0:c>
      <ns0:c r="C60" s="2" t="inlineStr">
        <ns0:is>
          <ns0:t>S008</ns0:t>
        </ns0:is>
      </ns0:c>
      <ns0:c r="D60" s="2" t="inlineStr">
        <ns0:is>
          <ns0:t>饮用水</ns0:t>
        </ns0:is>
      </ns0:c>
      <ns0:c r="E60" s="6" t="n">
        <ns0:f>'Q2_逐箱交付'!D60</ns0:f>
        <ns0:v>5775.662818578571</ns0:v>
      </ns0:c>
      <ns0:c r="F60" s="6" t="n">
        <ns0:v>7200</ns0:v>
      </ns0:c>
      <ns0:c r="G60" s="7" t="b">
        <ns0:v>0</ns0:v>
      </ns0:c>
      <ns0:c r="H60" s="7" t="n"/>
      <ns0:c r="I60" s="7" t="b">
        <ns0:v>0</ns0:v>
      </ns0:c>
      <ns0:c r="J60" s="6" t="n">
        <ns0:v>10</ns0:v>
      </ns0:c>
      <ns0:c r="K60" s="6" t="str">
        <ns0:f>IF(G60,H60-E60,"")</ns0:f>
        <ns0:v/>
      </ns0:c>
      <ns0:c r="L60" s="6" t="n">
        <ns0:f>MAX(0,E60-F60)</ns0:f>
        <ns0:v>0.0</ns0:v>
      </ns0:c>
      <ns0:c r="M60" s="6" t="n">
        <ns0:f>IF(G60,0,J60)</ns0:f>
        <ns0:v>10.0</ns0:v>
      </ns0:c>
      <ns0:c r="N60" s="6" t="n">
        <ns0:f>M60*L60</ns0:f>
        <ns0:v>0.0</ns0:v>
      </ns0:c>
      <ns0:c r="O60" s="6" t="n">
        <ns0:f>IF(P60,0,J60)</ns0:f>
        <ns0:v>10.0</ns0:v>
      </ns0:c>
      <ns0:c r="P60" s="7" t="b">
        <ns0:v>0</ns0:v>
      </ns0:c>
    </ns0:row>
    <ns0:row r="61" ht="25" customHeight="1">
      <ns0:c r="A61" s="2" t="inlineStr">
        <ns0:is>
          <ns0:t>S009-FOD-01</ns0:t>
        </ns0:is>
      </ns0:c>
      <ns0:c r="B61" s="2" t="inlineStr">
        <ns0:is>
          <ns0:t>Q2-0001</ns0:t>
        </ns0:is>
      </ns0:c>
      <ns0:c r="C61" s="2" t="inlineStr">
        <ns0:is>
          <ns0:t>S009</ns0:t>
        </ns0:is>
      </ns0:c>
      <ns0:c r="D61" s="2" t="inlineStr">
        <ns0:is>
          <ns0:t>应急食品</ns0:t>
        </ns0:is>
      </ns0:c>
      <ns0:c r="E61" s="6" t="n">
        <ns0:f>'Q2_逐箱交付'!D61</ns0:f>
        <ns0:v>1095.9098229441622</ns0:v>
      </ns0:c>
      <ns0:c r="F61" s="6" t="n">
        <ns0:v>14400</ns0:v>
      </ns0:c>
      <ns0:c r="G61" s="7" t="b">
        <ns0:v>0</ns0:v>
      </ns0:c>
      <ns0:c r="H61" s="7" t="n"/>
      <ns0:c r="I61" s="7" t="b">
        <ns0:v>0</ns0:v>
      </ns0:c>
      <ns0:c r="J61" s="6" t="n">
        <ns0:v>6</ns0:v>
      </ns0:c>
      <ns0:c r="K61" s="6" t="str">
        <ns0:f>IF(G61,H61-E61,"")</ns0:f>
        <ns0:v/>
      </ns0:c>
      <ns0:c r="L61" s="6" t="n">
        <ns0:f>MAX(0,E61-F61)</ns0:f>
        <ns0:v>0.0</ns0:v>
      </ns0:c>
      <ns0:c r="M61" s="6" t="n">
        <ns0:f>IF(G61,0,J61)</ns0:f>
        <ns0:v>6.0</ns0:v>
      </ns0:c>
      <ns0:c r="N61" s="6" t="n">
        <ns0:f>M61*L61</ns0:f>
        <ns0:v>0.0</ns0:v>
      </ns0:c>
      <ns0:c r="O61" s="6" t="n">
        <ns0:f>IF(P61,0,J61)</ns0:f>
        <ns0:v>6.0</ns0:v>
      </ns0:c>
      <ns0:c r="P61" s="7" t="b">
        <ns0:v>0</ns0:v>
      </ns0:c>
    </ns0:row>
    <ns0:row r="62" ht="25" customHeight="1">
      <ns0:c r="A62" s="2" t="inlineStr">
        <ns0:is>
          <ns0:t>S009-MED-01</ns0:t>
        </ns0:is>
      </ns0:c>
      <ns0:c r="B62" s="2" t="inlineStr">
        <ns0:is>
          <ns0:t>Q2-0024</ns0:t>
        </ns0:is>
      </ns0:c>
      <ns0:c r="C62" s="2" t="inlineStr">
        <ns0:is>
          <ns0:t>S009</ns0:t>
        </ns0:is>
      </ns0:c>
      <ns0:c r="D62" s="2" t="inlineStr">
        <ns0:is>
          <ns0:t>医疗物资</ns0:t>
        </ns0:is>
      </ns0:c>
      <ns0:c r="E62" s="6" t="n">
        <ns0:f>'Q2_逐箱交付'!D62</ns0:f>
        <ns0:v>5996.1086002981465</ns0:v>
      </ns0:c>
      <ns0:c r="F62" s="6" t="n">
        <ns0:v>10800</ns0:v>
      </ns0:c>
      <ns0:c r="G62" s="7" t="b">
        <ns0:v>1</ns0:v>
      </ns0:c>
      <ns0:c r="H62" s="6" t="n">
        <ns0:v>10800</ns0:v>
      </ns0:c>
      <ns0:c r="I62" s="7" t="b">
        <ns0:v>1</ns0:v>
      </ns0:c>
      <ns0:c r="J62" s="6" t="n">
        <ns0:v>16</ns0:v>
      </ns0:c>
      <ns0:c r="K62" s="6" t="n">
        <ns0:f>IF(G62,H62-E62,"")</ns0:f>
        <ns0:v>4803.8913997018535</ns0:v>
      </ns0:c>
      <ns0:c r="L62" s="6" t="n">
        <ns0:f>MAX(0,E62-F62)</ns0:f>
        <ns0:v>0.0</ns0:v>
      </ns0:c>
      <ns0:c r="M62" s="6" t="n">
        <ns0:f>IF(G62,0,J62)</ns0:f>
        <ns0:v>0.0</ns0:v>
      </ns0:c>
      <ns0:c r="N62" s="6" t="n">
        <ns0:f>M62*L62</ns0:f>
        <ns0:v>0.0</ns0:v>
      </ns0:c>
      <ns0:c r="O62" s="6" t="n">
        <ns0:f>IF(P62,0,J62)</ns0:f>
        <ns0:v>0.0</ns0:v>
      </ns0:c>
      <ns0:c r="P62" s="7" t="b">
        <ns0:v>1</ns0:v>
      </ns0:c>
    </ns0:row>
    <ns0:row r="63" ht="25" customHeight="1">
      <ns0:c r="A63" s="2" t="inlineStr">
        <ns0:is>
          <ns0:t>S009-WAT-01</ns0:t>
        </ns0:is>
      </ns0:c>
      <ns0:c r="B63" s="2" t="inlineStr">
        <ns0:is>
          <ns0:t>Q2-0024</ns0:t>
        </ns0:is>
      </ns0:c>
      <ns0:c r="C63" s="2" t="inlineStr">
        <ns0:is>
          <ns0:t>S009</ns0:t>
        </ns0:is>
      </ns0:c>
      <ns0:c r="D63" s="2" t="inlineStr">
        <ns0:is>
          <ns0:t>饮用水</ns0:t>
        </ns0:is>
      </ns0:c>
      <ns0:c r="E63" s="6" t="n">
        <ns0:f>'Q2_逐箱交付'!D63</ns0:f>
        <ns0:v>5996.1086002981465</ns0:v>
      </ns0:c>
      <ns0:c r="F63" s="6" t="n">
        <ns0:v>10800</ns0:v>
      </ns0:c>
      <ns0:c r="G63" s="7" t="b">
        <ns0:v>1</ns0:v>
      </ns0:c>
      <ns0:c r="H63" s="6" t="n">
        <ns0:v>10800</ns0:v>
      </ns0:c>
      <ns0:c r="I63" s="7" t="b">
        <ns0:v>1</ns0:v>
      </ns0:c>
      <ns0:c r="J63" s="6" t="n">
        <ns0:v>8</ns0:v>
      </ns0:c>
      <ns0:c r="K63" s="6" t="n">
        <ns0:f>IF(G63,H63-E63,"")</ns0:f>
        <ns0:v>4803.8913997018535</ns0:v>
      </ns0:c>
      <ns0:c r="L63" s="6" t="n">
        <ns0:f>MAX(0,E63-F63)</ns0:f>
        <ns0:v>0.0</ns0:v>
      </ns0:c>
      <ns0:c r="M63" s="6" t="n">
        <ns0:f>IF(G63,0,J63)</ns0:f>
        <ns0:v>0.0</ns0:v>
      </ns0:c>
      <ns0:c r="N63" s="6" t="n">
        <ns0:f>M63*L63</ns0:f>
        <ns0:v>0.0</ns0:v>
      </ns0:c>
      <ns0:c r="O63" s="6" t="n">
        <ns0:f>IF(P63,0,J63)</ns0:f>
        <ns0:v>8.0</ns0:v>
      </ns0:c>
      <ns0:c r="P63" s="7" t="b">
        <ns0:v>0</ns0:v>
      </ns0:c>
    </ns0:row>
    <ns0:row r="64" ht="25" customHeight="1">
      <ns0:c r="A64" s="2" t="inlineStr">
        <ns0:is>
          <ns0:t>S010-FOD-01</ns0:t>
        </ns0:is>
      </ns0:c>
      <ns0:c r="B64" s="2" t="inlineStr">
        <ns0:is>
          <ns0:t>Q2-0009</ns0:t>
        </ns0:is>
      </ns0:c>
      <ns0:c r="C64" s="2" t="inlineStr">
        <ns0:is>
          <ns0:t>S010</ns0:t>
        </ns0:is>
      </ns0:c>
      <ns0:c r="D64" s="2" t="inlineStr">
        <ns0:is>
          <ns0:t>应急食品</ns0:t>
        </ns0:is>
      </ns0:c>
      <ns0:c r="E64" s="6" t="n">
        <ns0:f>'Q2_逐箱交付'!D64</ns0:f>
        <ns0:v>2232.5084379249083</ns0:v>
      </ns0:c>
      <ns0:c r="F64" s="6" t="n">
        <ns0:v>7200</ns0:v>
      </ns0:c>
      <ns0:c r="G64" s="7" t="b">
        <ns0:v>0</ns0:v>
      </ns0:c>
      <ns0:c r="H64" s="7" t="n"/>
      <ns0:c r="I64" s="7" t="b">
        <ns0:v>0</ns0:v>
      </ns0:c>
      <ns0:c r="J64" s="6" t="n">
        <ns0:v>10</ns0:v>
      </ns0:c>
      <ns0:c r="K64" s="6" t="str">
        <ns0:f>IF(G64,H64-E64,"")</ns0:f>
        <ns0:v/>
      </ns0:c>
      <ns0:c r="L64" s="6" t="n">
        <ns0:f>MAX(0,E64-F64)</ns0:f>
        <ns0:v>0.0</ns0:v>
      </ns0:c>
      <ns0:c r="M64" s="6" t="n">
        <ns0:f>IF(G64,0,J64)</ns0:f>
        <ns0:v>10.0</ns0:v>
      </ns0:c>
      <ns0:c r="N64" s="6" t="n">
        <ns0:f>M64*L64</ns0:f>
        <ns0:v>0.0</ns0:v>
      </ns0:c>
      <ns0:c r="O64" s="6" t="n">
        <ns0:f>IF(P64,0,J64)</ns0:f>
        <ns0:v>10.0</ns0:v>
      </ns0:c>
      <ns0:c r="P64" s="7" t="b">
        <ns0:v>0</ns0:v>
      </ns0:c>
    </ns0:row>
    <ns0:row r="65" ht="25" customHeight="1">
      <ns0:c r="A65" s="2" t="inlineStr">
        <ns0:is>
          <ns0:t>S010-MED-01</ns0:t>
        </ns0:is>
      </ns0:c>
      <ns0:c r="B65" s="2" t="inlineStr">
        <ns0:is>
          <ns0:t>Q2-0009</ns0:t>
        </ns0:is>
      </ns0:c>
      <ns0:c r="C65" s="2" t="inlineStr">
        <ns0:is>
          <ns0:t>S010</ns0:t>
        </ns0:is>
      </ns0:c>
      <ns0:c r="D65" s="2" t="inlineStr">
        <ns0:is>
          <ns0:t>医疗物资</ns0:t>
        </ns0:is>
      </ns0:c>
      <ns0:c r="E65" s="6" t="n">
        <ns0:f>'Q2_逐箱交付'!D65</ns0:f>
        <ns0:v>2232.5084379249083</ns0:v>
      </ns0:c>
      <ns0:c r="F65" s="6" t="n">
        <ns0:v>3600</ns0:v>
      </ns0:c>
      <ns0:c r="G65" s="7" t="b">
        <ns0:v>1</ns0:v>
      </ns0:c>
      <ns0:c r="H65" s="6" t="n">
        <ns0:v>3600</ns0:v>
      </ns0:c>
      <ns0:c r="I65" s="7" t="b">
        <ns0:v>1</ns0:v>
      </ns0:c>
      <ns0:c r="J65" s="6" t="n">
        <ns0:v>24</ns0:v>
      </ns0:c>
      <ns0:c r="K65" s="6" t="n">
        <ns0:f>IF(G65,H65-E65,"")</ns0:f>
        <ns0:v>1367.4915620750917</ns0:v>
      </ns0:c>
      <ns0:c r="L65" s="6" t="n">
        <ns0:f>MAX(0,E65-F65)</ns0:f>
        <ns0:v>0.0</ns0:v>
      </ns0:c>
      <ns0:c r="M65" s="6" t="n">
        <ns0:f>IF(G65,0,J65)</ns0:f>
        <ns0:v>0.0</ns0:v>
      </ns0:c>
      <ns0:c r="N65" s="6" t="n">
        <ns0:f>M65*L65</ns0:f>
        <ns0:v>0.0</ns0:v>
      </ns0:c>
      <ns0:c r="O65" s="6" t="n">
        <ns0:f>IF(P65,0,J65)</ns0:f>
        <ns0:v>0.0</ns0:v>
      </ns0:c>
      <ns0:c r="P65" s="7" t="b">
        <ns0:v>1</ns0:v>
      </ns0:c>
    </ns0:row>
    <ns0:row r="66" ht="25" customHeight="1">
      <ns0:c r="A66" s="2" t="inlineStr">
        <ns0:is>
          <ns0:t>S010-WAT-01</ns0:t>
        </ns0:is>
      </ns0:c>
      <ns0:c r="B66" s="2" t="inlineStr">
        <ns0:is>
          <ns0:t>Q2-0009</ns0:t>
        </ns0:is>
      </ns0:c>
      <ns0:c r="C66" s="2" t="inlineStr">
        <ns0:is>
          <ns0:t>S010</ns0:t>
        </ns0:is>
      </ns0:c>
      <ns0:c r="D66" s="2" t="inlineStr">
        <ns0:is>
          <ns0:t>饮用水</ns0:t>
        </ns0:is>
      </ns0:c>
      <ns0:c r="E66" s="6" t="n">
        <ns0:f>'Q2_逐箱交付'!D66</ns0:f>
        <ns0:v>2232.5084379249083</ns0:v>
      </ns0:c>
      <ns0:c r="F66" s="6" t="n">
        <ns0:v>3600</ns0:v>
      </ns0:c>
      <ns0:c r="G66" s="7" t="b">
        <ns0:v>1</ns0:v>
      </ns0:c>
      <ns0:c r="H66" s="6" t="n">
        <ns0:v>3600</ns0:v>
      </ns0:c>
      <ns0:c r="I66" s="7" t="b">
        <ns0:v>1</ns0:v>
      </ns0:c>
      <ns0:c r="J66" s="6" t="n">
        <ns0:v>12</ns0:v>
      </ns0:c>
      <ns0:c r="K66" s="6" t="n">
        <ns0:f>IF(G66,H66-E66,"")</ns0:f>
        <ns0:v>1367.4915620750917</ns0:v>
      </ns0:c>
      <ns0:c r="L66" s="6" t="n">
        <ns0:f>MAX(0,E66-F66)</ns0:f>
        <ns0:v>0.0</ns0:v>
      </ns0:c>
      <ns0:c r="M66" s="6" t="n">
        <ns0:f>IF(G66,0,J66)</ns0:f>
        <ns0:v>0.0</ns0:v>
      </ns0:c>
      <ns0:c r="N66" s="6" t="n">
        <ns0:f>M66*L66</ns0:f>
        <ns0:v>0.0</ns0:v>
      </ns0:c>
      <ns0:c r="O66" s="6" t="n">
        <ns0:f>IF(P66,0,J66)</ns0:f>
        <ns0:v>12.0</ns0:v>
      </ns0:c>
      <ns0:c r="P66" s="7" t="b">
        <ns0:v>0</ns0:v>
      </ns0:c>
    </ns0:row>
    <ns0:row r="67" ht="25" customHeight="1">
      <ns0:c r="A67" s="2" t="inlineStr">
        <ns0:is>
          <ns0:t>S011-FOD-01</ns0:t>
        </ns0:is>
      </ns0:c>
      <ns0:c r="B67" s="2" t="inlineStr">
        <ns0:is>
          <ns0:t>Q2-0020</ns0:t>
        </ns0:is>
      </ns0:c>
      <ns0:c r="C67" s="2" t="inlineStr">
        <ns0:is>
          <ns0:t>S011</ns0:t>
        </ns0:is>
      </ns0:c>
      <ns0:c r="D67" s="2" t="inlineStr">
        <ns0:is>
          <ns0:t>应急食品</ns0:t>
        </ns0:is>
      </ns0:c>
      <ns0:c r="E67" s="6" t="n">
        <ns0:f>'Q2_逐箱交付'!D67</ns0:f>
        <ns0:v>6083.38030208264</ns0:v>
      </ns0:c>
      <ns0:c r="F67" s="6" t="n">
        <ns0:v>14400</ns0:v>
      </ns0:c>
      <ns0:c r="G67" s="7" t="b">
        <ns0:v>0</ns0:v>
      </ns0:c>
      <ns0:c r="H67" s="7" t="n"/>
      <ns0:c r="I67" s="7" t="b">
        <ns0:v>0</ns0:v>
      </ns0:c>
      <ns0:c r="J67" s="6" t="n">
        <ns0:v>6</ns0:v>
      </ns0:c>
      <ns0:c r="K67" s="6" t="str">
        <ns0:f>IF(G67,H67-E67,"")</ns0:f>
        <ns0:v/>
      </ns0:c>
      <ns0:c r="L67" s="6" t="n">
        <ns0:f>MAX(0,E67-F67)</ns0:f>
        <ns0:v>0.0</ns0:v>
      </ns0:c>
      <ns0:c r="M67" s="6" t="n">
        <ns0:f>IF(G67,0,J67)</ns0:f>
        <ns0:v>6.0</ns0:v>
      </ns0:c>
      <ns0:c r="N67" s="6" t="n">
        <ns0:f>M67*L67</ns0:f>
        <ns0:v>0.0</ns0:v>
      </ns0:c>
      <ns0:c r="O67" s="6" t="n">
        <ns0:f>IF(P67,0,J67)</ns0:f>
        <ns0:v>6.0</ns0:v>
      </ns0:c>
      <ns0:c r="P67" s="7" t="b">
        <ns0:v>0</ns0:v>
      </ns0:c>
    </ns0:row>
    <ns0:row r="68" ht="25" customHeight="1">
      <ns0:c r="A68" s="2" t="inlineStr">
        <ns0:is>
          <ns0:t>S011-MED-01</ns0:t>
        </ns0:is>
      </ns0:c>
      <ns0:c r="B68" s="2" t="inlineStr">
        <ns0:is>
          <ns0:t>Q2-0018</ns0:t>
        </ns0:is>
      </ns0:c>
      <ns0:c r="C68" s="2" t="inlineStr">
        <ns0:is>
          <ns0:t>S011</ns0:t>
        </ns0:is>
      </ns0:c>
      <ns0:c r="D68" s="2" t="inlineStr">
        <ns0:is>
          <ns0:t>医疗物资</ns0:t>
        </ns0:is>
      </ns0:c>
      <ns0:c r="E68" s="6" t="n">
        <ns0:f>'Q2_逐箱交付'!D68</ns0:f>
        <ns0:v>4654.240114626565</ns0:v>
      </ns0:c>
      <ns0:c r="F68" s="6" t="n">
        <ns0:v>10800</ns0:v>
      </ns0:c>
      <ns0:c r="G68" s="7" t="b">
        <ns0:v>1</ns0:v>
      </ns0:c>
      <ns0:c r="H68" s="6" t="n">
        <ns0:v>10800</ns0:v>
      </ns0:c>
      <ns0:c r="I68" s="7" t="b">
        <ns0:v>1</ns0:v>
      </ns0:c>
      <ns0:c r="J68" s="6" t="n">
        <ns0:v>16</ns0:v>
      </ns0:c>
      <ns0:c r="K68" s="6" t="n">
        <ns0:f>IF(G68,H68-E68,"")</ns0:f>
        <ns0:v>6145.759885373435</ns0:v>
      </ns0:c>
      <ns0:c r="L68" s="6" t="n">
        <ns0:f>MAX(0,E68-F68)</ns0:f>
        <ns0:v>0.0</ns0:v>
      </ns0:c>
      <ns0:c r="M68" s="6" t="n">
        <ns0:f>IF(G68,0,J68)</ns0:f>
        <ns0:v>0.0</ns0:v>
      </ns0:c>
      <ns0:c r="N68" s="6" t="n">
        <ns0:f>M68*L68</ns0:f>
        <ns0:v>0.0</ns0:v>
      </ns0:c>
      <ns0:c r="O68" s="6" t="n">
        <ns0:f>IF(P68,0,J68)</ns0:f>
        <ns0:v>0.0</ns0:v>
      </ns0:c>
      <ns0:c r="P68" s="7" t="b">
        <ns0:v>1</ns0:v>
      </ns0:c>
    </ns0:row>
    <ns0:row r="69" ht="25" customHeight="1">
      <ns0:c r="A69" s="2" t="inlineStr">
        <ns0:is>
          <ns0:t>S011-WAT-01</ns0:t>
        </ns0:is>
      </ns0:c>
      <ns0:c r="B69" s="2" t="inlineStr">
        <ns0:is>
          <ns0:t>Q2-0018</ns0:t>
        </ns0:is>
      </ns0:c>
      <ns0:c r="C69" s="2" t="inlineStr">
        <ns0:is>
          <ns0:t>S011</ns0:t>
        </ns0:is>
      </ns0:c>
      <ns0:c r="D69" s="2" t="inlineStr">
        <ns0:is>
          <ns0:t>饮用水</ns0:t>
        </ns0:is>
      </ns0:c>
      <ns0:c r="E69" s="6" t="n">
        <ns0:f>'Q2_逐箱交付'!D69</ns0:f>
        <ns0:v>4654.240114626565</ns0:v>
      </ns0:c>
      <ns0:c r="F69" s="6" t="n">
        <ns0:v>10800</ns0:v>
      </ns0:c>
      <ns0:c r="G69" s="7" t="b">
        <ns0:v>1</ns0:v>
      </ns0:c>
      <ns0:c r="H69" s="6" t="n">
        <ns0:v>10800</ns0:v>
      </ns0:c>
      <ns0:c r="I69" s="7" t="b">
        <ns0:v>1</ns0:v>
      </ns0:c>
      <ns0:c r="J69" s="6" t="n">
        <ns0:v>8</ns0:v>
      </ns0:c>
      <ns0:c r="K69" s="6" t="n">
        <ns0:f>IF(G69,H69-E69,"")</ns0:f>
        <ns0:v>6145.759885373435</ns0:v>
      </ns0:c>
      <ns0:c r="L69" s="6" t="n">
        <ns0:f>MAX(0,E69-F69)</ns0:f>
        <ns0:v>0.0</ns0:v>
      </ns0:c>
      <ns0:c r="M69" s="6" t="n">
        <ns0:f>IF(G69,0,J69)</ns0:f>
        <ns0:v>0.0</ns0:v>
      </ns0:c>
      <ns0:c r="N69" s="6" t="n">
        <ns0:f>M69*L69</ns0:f>
        <ns0:v>0.0</ns0:v>
      </ns0:c>
      <ns0:c r="O69" s="6" t="n">
        <ns0:f>IF(P69,0,J69)</ns0:f>
        <ns0:v>8.0</ns0:v>
      </ns0:c>
      <ns0:c r="P69" s="7" t="b">
        <ns0:v>0</ns0:v>
      </ns0:c>
    </ns0:row>
    <ns0:row r="70" ht="25" customHeight="1">
      <ns0:c r="A70" s="2" t="inlineStr">
        <ns0:is>
          <ns0:t>S012-FOD-01</ns0:t>
        </ns0:is>
      </ns0:c>
      <ns0:c r="B70" s="2" t="inlineStr">
        <ns0:is>
          <ns0:t>Q2-0013</ns0:t>
        </ns0:is>
      </ns0:c>
      <ns0:c r="C70" s="2" t="inlineStr">
        <ns0:is>
          <ns0:t>S012</ns0:t>
        </ns0:is>
      </ns0:c>
      <ns0:c r="D70" s="2" t="inlineStr">
        <ns0:is>
          <ns0:t>应急食品</ns0:t>
        </ns0:is>
      </ns0:c>
      <ns0:c r="E70" s="6" t="n">
        <ns0:f>'Q2_逐箱交付'!D70</ns0:f>
        <ns0:v>3099.670967248253</ns0:v>
      </ns0:c>
      <ns0:c r="F70" s="6" t="n">
        <ns0:v>7200</ns0:v>
      </ns0:c>
      <ns0:c r="G70" s="7" t="b">
        <ns0:v>0</ns0:v>
      </ns0:c>
      <ns0:c r="H70" s="7" t="n"/>
      <ns0:c r="I70" s="7" t="b">
        <ns0:v>0</ns0:v>
      </ns0:c>
      <ns0:c r="J70" s="6" t="n">
        <ns0:v>10</ns0:v>
      </ns0:c>
      <ns0:c r="K70" s="6" t="str">
        <ns0:f>IF(G70,H70-E70,"")</ns0:f>
        <ns0:v/>
      </ns0:c>
      <ns0:c r="L70" s="6" t="n">
        <ns0:f>MAX(0,E70-F70)</ns0:f>
        <ns0:v>0.0</ns0:v>
      </ns0:c>
      <ns0:c r="M70" s="6" t="n">
        <ns0:f>IF(G70,0,J70)</ns0:f>
        <ns0:v>10.0</ns0:v>
      </ns0:c>
      <ns0:c r="N70" s="6" t="n">
        <ns0:f>M70*L70</ns0:f>
        <ns0:v>0.0</ns0:v>
      </ns0:c>
      <ns0:c r="O70" s="6" t="n">
        <ns0:f>IF(P70,0,J70)</ns0:f>
        <ns0:v>10.0</ns0:v>
      </ns0:c>
      <ns0:c r="P70" s="7" t="b">
        <ns0:v>0</ns0:v>
      </ns0:c>
    </ns0:row>
    <ns0:row r="71" ht="25" customHeight="1">
      <ns0:c r="A71" s="2" t="inlineStr">
        <ns0:is>
          <ns0:t>S012-MED-01</ns0:t>
        </ns0:is>
      </ns0:c>
      <ns0:c r="B71" s="2" t="inlineStr">
        <ns0:is>
          <ns0:t>Q2-0013</ns0:t>
        </ns0:is>
      </ns0:c>
      <ns0:c r="C71" s="2" t="inlineStr">
        <ns0:is>
          <ns0:t>S012</ns0:t>
        </ns0:is>
      </ns0:c>
      <ns0:c r="D71" s="2" t="inlineStr">
        <ns0:is>
          <ns0:t>医疗物资</ns0:t>
        </ns0:is>
      </ns0:c>
      <ns0:c r="E71" s="6" t="n">
        <ns0:f>'Q2_逐箱交付'!D71</ns0:f>
        <ns0:v>3099.670967248253</ns0:v>
      </ns0:c>
      <ns0:c r="F71" s="6" t="n">
        <ns0:v>7200</ns0:v>
      </ns0:c>
      <ns0:c r="G71" s="7" t="b">
        <ns0:v>1</ns0:v>
      </ns0:c>
      <ns0:c r="H71" s="6" t="n">
        <ns0:v>3600</ns0:v>
      </ns0:c>
      <ns0:c r="I71" s="7" t="b">
        <ns0:v>1</ns0:v>
      </ns0:c>
      <ns0:c r="J71" s="6" t="n">
        <ns0:v>22</ns0:v>
      </ns0:c>
      <ns0:c r="K71" s="6" t="n">
        <ns0:f>IF(G71,H71-E71,"")</ns0:f>
        <ns0:v>500.32903275174704</ns0:v>
      </ns0:c>
      <ns0:c r="L71" s="6" t="n">
        <ns0:f>MAX(0,E71-F71)</ns0:f>
        <ns0:v>0.0</ns0:v>
      </ns0:c>
      <ns0:c r="M71" s="6" t="n">
        <ns0:f>IF(G71,0,J71)</ns0:f>
        <ns0:v>0.0</ns0:v>
      </ns0:c>
      <ns0:c r="N71" s="6" t="n">
        <ns0:f>M71*L71</ns0:f>
        <ns0:v>0.0</ns0:v>
      </ns0:c>
      <ns0:c r="O71" s="6" t="n">
        <ns0:f>IF(P71,0,J71)</ns0:f>
        <ns0:v>0.0</ns0:v>
      </ns0:c>
      <ns0:c r="P71" s="7" t="b">
        <ns0:v>1</ns0:v>
      </ns0:c>
    </ns0:row>
    <ns0:row r="72" ht="25" customHeight="1">
      <ns0:c r="A72" s="2" t="inlineStr">
        <ns0:is>
          <ns0:t>S012-WAT-01</ns0:t>
        </ns0:is>
      </ns0:c>
      <ns0:c r="B72" s="2" t="inlineStr">
        <ns0:is>
          <ns0:t>Q2-0013</ns0:t>
        </ns0:is>
      </ns0:c>
      <ns0:c r="C72" s="2" t="inlineStr">
        <ns0:is>
          <ns0:t>S012</ns0:t>
        </ns0:is>
      </ns0:c>
      <ns0:c r="D72" s="2" t="inlineStr">
        <ns0:is>
          <ns0:t>饮用水</ns0:t>
        </ns0:is>
      </ns0:c>
      <ns0:c r="E72" s="6" t="n">
        <ns0:f>'Q2_逐箱交付'!D72</ns0:f>
        <ns0:v>3099.670967248253</ns0:v>
      </ns0:c>
      <ns0:c r="F72" s="6" t="n">
        <ns0:v>3600</ns0:v>
      </ns0:c>
      <ns0:c r="G72" s="7" t="b">
        <ns0:v>1</ns0:v>
      </ns0:c>
      <ns0:c r="H72" s="6" t="n">
        <ns0:v>3600</ns0:v>
      </ns0:c>
      <ns0:c r="I72" s="7" t="b">
        <ns0:v>1</ns0:v>
      </ns0:c>
      <ns0:c r="J72" s="6" t="n">
        <ns0:v>12</ns0:v>
      </ns0:c>
      <ns0:c r="K72" s="6" t="n">
        <ns0:f>IF(G72,H72-E72,"")</ns0:f>
        <ns0:v>500.32903275174704</ns0:v>
      </ns0:c>
      <ns0:c r="L72" s="6" t="n">
        <ns0:f>MAX(0,E72-F72)</ns0:f>
        <ns0:v>0.0</ns0:v>
      </ns0:c>
      <ns0:c r="M72" s="6" t="n">
        <ns0:f>IF(G72,0,J72)</ns0:f>
        <ns0:v>0.0</ns0:v>
      </ns0:c>
      <ns0:c r="N72" s="6" t="n">
        <ns0:f>M72*L72</ns0:f>
        <ns0:v>0.0</ns0:v>
      </ns0:c>
      <ns0:c r="O72" s="6" t="n">
        <ns0:f>IF(P72,0,J72)</ns0:f>
        <ns0:v>12.0</ns0:v>
      </ns0:c>
      <ns0:c r="P72" s="7" t="b">
        <ns0:v>0</ns0:v>
      </ns0:c>
    </ns0:row>
    <ns0:row r="73" ht="25" customHeight="1">
      <ns0:c r="A73" s="2" t="inlineStr">
        <ns0:is>
          <ns0:t>S013-FOD-01</ns0:t>
        </ns0:is>
      </ns0:c>
      <ns0:c r="B73" s="2" t="inlineStr">
        <ns0:is>
          <ns0:t>Q2-0007</ns0:t>
        </ns0:is>
      </ns0:c>
      <ns0:c r="C73" s="2" t="inlineStr">
        <ns0:is>
          <ns0:t>S013</ns0:t>
        </ns0:is>
      </ns0:c>
      <ns0:c r="D73" s="2" t="inlineStr">
        <ns0:is>
          <ns0:t>应急食品</ns0:t>
        </ns0:is>
      </ns0:c>
      <ns0:c r="E73" s="6" t="n">
        <ns0:f>'Q2_逐箱交付'!D73</ns0:f>
        <ns0:v>1375.6389456845852</ns0:v>
      </ns0:c>
      <ns0:c r="F73" s="6" t="n">
        <ns0:v>7200</ns0:v>
      </ns0:c>
      <ns0:c r="G73" s="7" t="b">
        <ns0:v>0</ns0:v>
      </ns0:c>
      <ns0:c r="H73" s="7" t="n"/>
      <ns0:c r="I73" s="7" t="b">
        <ns0:v>0</ns0:v>
      </ns0:c>
      <ns0:c r="J73" s="6" t="n">
        <ns0:v>10</ns0:v>
      </ns0:c>
      <ns0:c r="K73" s="6" t="str">
        <ns0:f>IF(G73,H73-E73,"")</ns0:f>
        <ns0:v/>
      </ns0:c>
      <ns0:c r="L73" s="6" t="n">
        <ns0:f>MAX(0,E73-F73)</ns0:f>
        <ns0:v>0.0</ns0:v>
      </ns0:c>
      <ns0:c r="M73" s="6" t="n">
        <ns0:f>IF(G73,0,J73)</ns0:f>
        <ns0:v>10.0</ns0:v>
      </ns0:c>
      <ns0:c r="N73" s="6" t="n">
        <ns0:f>M73*L73</ns0:f>
        <ns0:v>0.0</ns0:v>
      </ns0:c>
      <ns0:c r="O73" s="6" t="n">
        <ns0:f>IF(P73,0,J73)</ns0:f>
        <ns0:v>10.0</ns0:v>
      </ns0:c>
      <ns0:c r="P73" s="7" t="b">
        <ns0:v>0</ns0:v>
      </ns0:c>
    </ns0:row>
    <ns0:row r="74" ht="25" customHeight="1">
      <ns0:c r="A74" s="2" t="inlineStr">
        <ns0:is>
          <ns0:t>S013-MED-01</ns0:t>
        </ns0:is>
      </ns0:c>
      <ns0:c r="B74" s="2" t="inlineStr">
        <ns0:is>
          <ns0:t>Q2-0014</ns0:t>
        </ns0:is>
      </ns0:c>
      <ns0:c r="C74" s="2" t="inlineStr">
        <ns0:is>
          <ns0:t>S013</ns0:t>
        </ns0:is>
      </ns0:c>
      <ns0:c r="D74" s="2" t="inlineStr">
        <ns0:is>
          <ns0:t>医疗物资</ns0:t>
        </ns0:is>
      </ns0:c>
      <ns0:c r="E74" s="6" t="n">
        <ns0:f>'Q2_逐箱交付'!D74</ns0:f>
        <ns0:v>3275.9872833524532</ns0:v>
      </ns0:c>
      <ns0:c r="F74" s="6" t="n">
        <ns0:v>3600</ns0:v>
      </ns0:c>
      <ns0:c r="G74" s="7" t="b">
        <ns0:v>1</ns0:v>
      </ns0:c>
      <ns0:c r="H74" s="6" t="n">
        <ns0:v>3600</ns0:v>
      </ns0:c>
      <ns0:c r="I74" s="7" t="b">
        <ns0:v>1</ns0:v>
      </ns0:c>
      <ns0:c r="J74" s="6" t="n">
        <ns0:v>24</ns0:v>
      </ns0:c>
      <ns0:c r="K74" s="6" t="n">
        <ns0:f>IF(G74,H74-E74,"")</ns0:f>
        <ns0:v>324.01271664754677</ns0:v>
      </ns0:c>
      <ns0:c r="L74" s="6" t="n">
        <ns0:f>MAX(0,E74-F74)</ns0:f>
        <ns0:v>0.0</ns0:v>
      </ns0:c>
      <ns0:c r="M74" s="6" t="n">
        <ns0:f>IF(G74,0,J74)</ns0:f>
        <ns0:v>0.0</ns0:v>
      </ns0:c>
      <ns0:c r="N74" s="6" t="n">
        <ns0:f>M74*L74</ns0:f>
        <ns0:v>0.0</ns0:v>
      </ns0:c>
      <ns0:c r="O74" s="6" t="n">
        <ns0:f>IF(P74,0,J74)</ns0:f>
        <ns0:v>0.0</ns0:v>
      </ns0:c>
      <ns0:c r="P74" s="7" t="b">
        <ns0:v>1</ns0:v>
      </ns0:c>
    </ns0:row>
    <ns0:row r="75" ht="25" customHeight="1">
      <ns0:c r="A75" s="2" t="inlineStr">
        <ns0:is>
          <ns0:t>S013-WAT-01</ns0:t>
        </ns0:is>
      </ns0:c>
      <ns0:c r="B75" s="2" t="inlineStr">
        <ns0:is>
          <ns0:t>Q2-0014</ns0:t>
        </ns0:is>
      </ns0:c>
      <ns0:c r="C75" s="2" t="inlineStr">
        <ns0:is>
          <ns0:t>S013</ns0:t>
        </ns0:is>
      </ns0:c>
      <ns0:c r="D75" s="2" t="inlineStr">
        <ns0:is>
          <ns0:t>饮用水</ns0:t>
        </ns0:is>
      </ns0:c>
      <ns0:c r="E75" s="6" t="n">
        <ns0:f>'Q2_逐箱交付'!D75</ns0:f>
        <ns0:v>3275.9872833524532</ns0:v>
      </ns0:c>
      <ns0:c r="F75" s="6" t="n">
        <ns0:v>3600</ns0:v>
      </ns0:c>
      <ns0:c r="G75" s="7" t="b">
        <ns0:v>1</ns0:v>
      </ns0:c>
      <ns0:c r="H75" s="6" t="n">
        <ns0:v>3600</ns0:v>
      </ns0:c>
      <ns0:c r="I75" s="7" t="b">
        <ns0:v>1</ns0:v>
      </ns0:c>
      <ns0:c r="J75" s="6" t="n">
        <ns0:v>12</ns0:v>
      </ns0:c>
      <ns0:c r="K75" s="6" t="n">
        <ns0:f>IF(G75,H75-E75,"")</ns0:f>
        <ns0:v>324.01271664754677</ns0:v>
      </ns0:c>
      <ns0:c r="L75" s="6" t="n">
        <ns0:f>MAX(0,E75-F75)</ns0:f>
        <ns0:v>0.0</ns0:v>
      </ns0:c>
      <ns0:c r="M75" s="6" t="n">
        <ns0:f>IF(G75,0,J75)</ns0:f>
        <ns0:v>0.0</ns0:v>
      </ns0:c>
      <ns0:c r="N75" s="6" t="n">
        <ns0:f>M75*L75</ns0:f>
        <ns0:v>0.0</ns0:v>
      </ns0:c>
      <ns0:c r="O75" s="6" t="n">
        <ns0:f>IF(P75,0,J75)</ns0:f>
        <ns0:v>12.0</ns0:v>
      </ns0:c>
      <ns0:c r="P75" s="7" t="b">
        <ns0:v>0</ns0:v>
      </ns0:c>
    </ns0:row>
    <ns0:row r="76" ht="25" customHeight="1">
      <ns0:c r="A76" s="2" t="inlineStr">
        <ns0:is>
          <ns0:t>S014-FOD-01</ns0:t>
        </ns0:is>
      </ns0:c>
      <ns0:c r="B76" s="2" t="inlineStr">
        <ns0:is>
          <ns0:t>Q2-0010</ns0:t>
        </ns0:is>
      </ns0:c>
      <ns0:c r="C76" s="2" t="inlineStr">
        <ns0:is>
          <ns0:t>S014</ns0:t>
        </ns0:is>
      </ns0:c>
      <ns0:c r="D76" s="2" t="inlineStr">
        <ns0:is>
          <ns0:t>应急食品</ns0:t>
        </ns0:is>
      </ns0:c>
      <ns0:c r="E76" s="6" t="n">
        <ns0:f>'Q2_逐箱交付'!D76</ns0:f>
        <ns0:v>2523.663072048423</ns0:v>
      </ns0:c>
      <ns0:c r="F76" s="6" t="n">
        <ns0:v>7200</ns0:v>
      </ns0:c>
      <ns0:c r="G76" s="7" t="b">
        <ns0:v>0</ns0:v>
      </ns0:c>
      <ns0:c r="H76" s="7" t="n"/>
      <ns0:c r="I76" s="7" t="b">
        <ns0:v>0</ns0:v>
      </ns0:c>
      <ns0:c r="J76" s="6" t="n">
        <ns0:v>10</ns0:v>
      </ns0:c>
      <ns0:c r="K76" s="6" t="str">
        <ns0:f>IF(G76,H76-E76,"")</ns0:f>
        <ns0:v/>
      </ns0:c>
      <ns0:c r="L76" s="6" t="n">
        <ns0:f>MAX(0,E76-F76)</ns0:f>
        <ns0:v>0.0</ns0:v>
      </ns0:c>
      <ns0:c r="M76" s="6" t="n">
        <ns0:f>IF(G76,0,J76)</ns0:f>
        <ns0:v>10.0</ns0:v>
      </ns0:c>
      <ns0:c r="N76" s="6" t="n">
        <ns0:f>M76*L76</ns0:f>
        <ns0:v>0.0</ns0:v>
      </ns0:c>
      <ns0:c r="O76" s="6" t="n">
        <ns0:f>IF(P76,0,J76)</ns0:f>
        <ns0:v>10.0</ns0:v>
      </ns0:c>
      <ns0:c r="P76" s="7" t="b">
        <ns0:v>0</ns0:v>
      </ns0:c>
    </ns0:row>
    <ns0:row r="77" ht="25" customHeight="1">
      <ns0:c r="A77" s="2" t="inlineStr">
        <ns0:is>
          <ns0:t>S014-MED-01</ns0:t>
        </ns0:is>
      </ns0:c>
      <ns0:c r="B77" s="2" t="inlineStr">
        <ns0:is>
          <ns0:t>Q2-0011</ns0:t>
        </ns0:is>
      </ns0:c>
      <ns0:c r="C77" s="2" t="inlineStr">
        <ns0:is>
          <ns0:t>S014</ns0:t>
        </ns0:is>
      </ns0:c>
      <ns0:c r="D77" s="2" t="inlineStr">
        <ns0:is>
          <ns0:t>医疗物资</ns0:t>
        </ns0:is>
      </ns0:c>
      <ns0:c r="E77" s="6" t="n">
        <ns0:f>'Q2_逐箱交付'!D77</ns0:f>
        <ns0:v>3043.3965170183983</ns0:v>
      </ns0:c>
      <ns0:c r="F77" s="6" t="n">
        <ns0:v>7200</ns0:v>
      </ns0:c>
      <ns0:c r="G77" s="7" t="b">
        <ns0:v>1</ns0:v>
      </ns0:c>
      <ns0:c r="H77" s="6" t="n">
        <ns0:v>3600</ns0:v>
      </ns0:c>
      <ns0:c r="I77" s="7" t="b">
        <ns0:v>1</ns0:v>
      </ns0:c>
      <ns0:c r="J77" s="6" t="n">
        <ns0:v>22</ns0:v>
      </ns0:c>
      <ns0:c r="K77" s="6" t="n">
        <ns0:f>IF(G77,H77-E77,"")</ns0:f>
        <ns0:v>556.6034829816017</ns0:v>
      </ns0:c>
      <ns0:c r="L77" s="6" t="n">
        <ns0:f>MAX(0,E77-F77)</ns0:f>
        <ns0:v>0.0</ns0:v>
      </ns0:c>
      <ns0:c r="M77" s="6" t="n">
        <ns0:f>IF(G77,0,J77)</ns0:f>
        <ns0:v>0.0</ns0:v>
      </ns0:c>
      <ns0:c r="N77" s="6" t="n">
        <ns0:f>M77*L77</ns0:f>
        <ns0:v>0.0</ns0:v>
      </ns0:c>
      <ns0:c r="O77" s="6" t="n">
        <ns0:f>IF(P77,0,J77)</ns0:f>
        <ns0:v>0.0</ns0:v>
      </ns0:c>
      <ns0:c r="P77" s="7" t="b">
        <ns0:v>1</ns0:v>
      </ns0:c>
    </ns0:row>
    <ns0:row r="78" ht="25" customHeight="1">
      <ns0:c r="A78" s="2" t="inlineStr">
        <ns0:is>
          <ns0:t>S014-WAT-01</ns0:t>
        </ns0:is>
      </ns0:c>
      <ns0:c r="B78" s="2" t="inlineStr">
        <ns0:is>
          <ns0:t>Q2-0010</ns0:t>
        </ns0:is>
      </ns0:c>
      <ns0:c r="C78" s="2" t="inlineStr">
        <ns0:is>
          <ns0:t>S014</ns0:t>
        </ns0:is>
      </ns0:c>
      <ns0:c r="D78" s="2" t="inlineStr">
        <ns0:is>
          <ns0:t>饮用水</ns0:t>
        </ns0:is>
      </ns0:c>
      <ns0:c r="E78" s="6" t="n">
        <ns0:f>'Q2_逐箱交付'!D78</ns0:f>
        <ns0:v>2523.663072048423</ns0:v>
      </ns0:c>
      <ns0:c r="F78" s="6" t="n">
        <ns0:v>3600</ns0:v>
      </ns0:c>
      <ns0:c r="G78" s="7" t="b">
        <ns0:v>1</ns0:v>
      </ns0:c>
      <ns0:c r="H78" s="6" t="n">
        <ns0:v>3600</ns0:v>
      </ns0:c>
      <ns0:c r="I78" s="7" t="b">
        <ns0:v>1</ns0:v>
      </ns0:c>
      <ns0:c r="J78" s="6" t="n">
        <ns0:v>12</ns0:v>
      </ns0:c>
      <ns0:c r="K78" s="6" t="n">
        <ns0:f>IF(G78,H78-E78,"")</ns0:f>
        <ns0:v>1076.3369279515769</ns0:v>
      </ns0:c>
      <ns0:c r="L78" s="6" t="n">
        <ns0:f>MAX(0,E78-F78)</ns0:f>
        <ns0:v>0.0</ns0:v>
      </ns0:c>
      <ns0:c r="M78" s="6" t="n">
        <ns0:f>IF(G78,0,J78)</ns0:f>
        <ns0:v>0.0</ns0:v>
      </ns0:c>
      <ns0:c r="N78" s="6" t="n">
        <ns0:f>M78*L78</ns0:f>
        <ns0:v>0.0</ns0:v>
      </ns0:c>
      <ns0:c r="O78" s="6" t="n">
        <ns0:f>IF(P78,0,J78)</ns0:f>
        <ns0:v>12.0</ns0:v>
      </ns0:c>
      <ns0:c r="P78" s="7" t="b">
        <ns0:v>0</ns0:v>
      </ns0:c>
    </ns0:row>
    <ns0:row r="79" ht="25" customHeight="1">
      <ns0:c r="A79" s="2" t="inlineStr">
        <ns0:is>
          <ns0:t>S015-FOD-01</ns0:t>
        </ns0:is>
      </ns0:c>
      <ns0:c r="B79" s="2" t="inlineStr">
        <ns0:is>
          <ns0:t>Q2-0004</ns0:t>
        </ns0:is>
      </ns0:c>
      <ns0:c r="C79" s="2" t="inlineStr">
        <ns0:is>
          <ns0:t>S015</ns0:t>
        </ns0:is>
      </ns0:c>
      <ns0:c r="D79" s="2" t="inlineStr">
        <ns0:is>
          <ns0:t>应急食品</ns0:t>
        </ns0:is>
      </ns0:c>
      <ns0:c r="E79" s="6" t="n">
        <ns0:f>'Q2_逐箱交付'!D79</ns0:f>
        <ns0:v>1217.6037800868298</ns0:v>
      </ns0:c>
      <ns0:c r="F79" s="6" t="n">
        <ns0:v>14400</ns0:v>
      </ns0:c>
      <ns0:c r="G79" s="7" t="b">
        <ns0:v>0</ns0:v>
      </ns0:c>
      <ns0:c r="H79" s="7" t="n"/>
      <ns0:c r="I79" s="7" t="b">
        <ns0:v>0</ns0:v>
      </ns0:c>
      <ns0:c r="J79" s="6" t="n">
        <ns0:v>6</ns0:v>
      </ns0:c>
      <ns0:c r="K79" s="6" t="str">
        <ns0:f>IF(G79,H79-E79,"")</ns0:f>
        <ns0:v/>
      </ns0:c>
      <ns0:c r="L79" s="6" t="n">
        <ns0:f>MAX(0,E79-F79)</ns0:f>
        <ns0:v>0.0</ns0:v>
      </ns0:c>
      <ns0:c r="M79" s="6" t="n">
        <ns0:f>IF(G79,0,J79)</ns0:f>
        <ns0:v>6.0</ns0:v>
      </ns0:c>
      <ns0:c r="N79" s="6" t="n">
        <ns0:f>M79*L79</ns0:f>
        <ns0:v>0.0</ns0:v>
      </ns0:c>
      <ns0:c r="O79" s="6" t="n">
        <ns0:f>IF(P79,0,J79)</ns0:f>
        <ns0:v>6.0</ns0:v>
      </ns0:c>
      <ns0:c r="P79" s="7" t="b">
        <ns0:v>0</ns0:v>
      </ns0:c>
    </ns0:row>
    <ns0:row r="80" ht="25" customHeight="1">
      <ns0:c r="A80" s="2" t="inlineStr">
        <ns0:is>
          <ns0:t>S015-MED-01</ns0:t>
        </ns0:is>
      </ns0:c>
      <ns0:c r="B80" s="2" t="inlineStr">
        <ns0:is>
          <ns0:t>Q2-0004</ns0:t>
        </ns0:is>
      </ns0:c>
      <ns0:c r="C80" s="2" t="inlineStr">
        <ns0:is>
          <ns0:t>S015</ns0:t>
        </ns0:is>
      </ns0:c>
      <ns0:c r="D80" s="2" t="inlineStr">
        <ns0:is>
          <ns0:t>医疗物资</ns0:t>
        </ns0:is>
      </ns0:c>
      <ns0:c r="E80" s="6" t="n">
        <ns0:f>'Q2_逐箱交付'!D80</ns0:f>
        <ns0:v>1217.6037800868298</ns0:v>
      </ns0:c>
      <ns0:c r="F80" s="6" t="n">
        <ns0:v>7200</ns0:v>
      </ns0:c>
      <ns0:c r="G80" s="7" t="b">
        <ns0:v>1</ns0:v>
      </ns0:c>
      <ns0:c r="H80" s="6" t="n">
        <ns0:v>7200</ns0:v>
      </ns0:c>
      <ns0:c r="I80" s="7" t="b">
        <ns0:v>1</ns0:v>
      </ns0:c>
      <ns0:c r="J80" s="6" t="n">
        <ns0:v>18</ns0:v>
      </ns0:c>
      <ns0:c r="K80" s="6" t="n">
        <ns0:f>IF(G80,H80-E80,"")</ns0:f>
        <ns0:v>5982.39621991317</ns0:v>
      </ns0:c>
      <ns0:c r="L80" s="6" t="n">
        <ns0:f>MAX(0,E80-F80)</ns0:f>
        <ns0:v>0.0</ns0:v>
      </ns0:c>
      <ns0:c r="M80" s="6" t="n">
        <ns0:f>IF(G80,0,J80)</ns0:f>
        <ns0:v>0.0</ns0:v>
      </ns0:c>
      <ns0:c r="N80" s="6" t="n">
        <ns0:f>M80*L80</ns0:f>
        <ns0:v>0.0</ns0:v>
      </ns0:c>
      <ns0:c r="O80" s="6" t="n">
        <ns0:f>IF(P80,0,J80)</ns0:f>
        <ns0:v>0.0</ns0:v>
      </ns0:c>
      <ns0:c r="P80" s="7" t="b">
        <ns0:v>1</ns0:v>
      </ns0:c>
    </ns0:row>
    <ns0:row r="81" ht="25" customHeight="1">
      <ns0:c r="A81" s="2" t="inlineStr">
        <ns0:is>
          <ns0:t>S015-WAT-01</ns0:t>
        </ns0:is>
      </ns0:c>
      <ns0:c r="B81" s="2" t="inlineStr">
        <ns0:is>
          <ns0:t>Q2-0004</ns0:t>
        </ns0:is>
      </ns0:c>
      <ns0:c r="C81" s="2" t="inlineStr">
        <ns0:is>
          <ns0:t>S015</ns0:t>
        </ns0:is>
      </ns0:c>
      <ns0:c r="D81" s="2" t="inlineStr">
        <ns0:is>
          <ns0:t>饮用水</ns0:t>
        </ns0:is>
      </ns0:c>
      <ns0:c r="E81" s="6" t="n">
        <ns0:f>'Q2_逐箱交付'!D81</ns0:f>
        <ns0:v>1217.6037800868298</ns0:v>
      </ns0:c>
      <ns0:c r="F81" s="6" t="n">
        <ns0:v>10800</ns0:v>
      </ns0:c>
      <ns0:c r="G81" s="7" t="b">
        <ns0:v>1</ns0:v>
      </ns0:c>
      <ns0:c r="H81" s="6" t="n">
        <ns0:v>10800</ns0:v>
      </ns0:c>
      <ns0:c r="I81" s="7" t="b">
        <ns0:v>1</ns0:v>
      </ns0:c>
      <ns0:c r="J81" s="6" t="n">
        <ns0:v>8</ns0:v>
      </ns0:c>
      <ns0:c r="K81" s="6" t="n">
        <ns0:f>IF(G81,H81-E81,"")</ns0:f>
        <ns0:v>9582.396219913171</ns0:v>
      </ns0:c>
      <ns0:c r="L81" s="6" t="n">
        <ns0:f>MAX(0,E81-F81)</ns0:f>
        <ns0:v>0.0</ns0:v>
      </ns0:c>
      <ns0:c r="M81" s="6" t="n">
        <ns0:f>IF(G81,0,J81)</ns0:f>
        <ns0:v>0.0</ns0:v>
      </ns0:c>
      <ns0:c r="N81" s="6" t="n">
        <ns0:f>M81*L81</ns0:f>
        <ns0:v>0.0</ns0:v>
      </ns0:c>
      <ns0:c r="O81" s="6" t="n">
        <ns0:f>IF(P81,0,J81)</ns0:f>
        <ns0:v>8.0</ns0:v>
      </ns0:c>
      <ns0:c r="P81" s="7" t="b">
        <ns0:v>0</ns0:v>
      </ns0:c>
    </ns0:row>
  </ns0:sheetData>
  <ns0:autoFilter ref="A1:P81"/>
  <ns0:pageMargins left="0.75" right="0.75" top="1" bottom="1" header="0.5" footer="0.5"/>
  <ns0:pageSetup orientation="landscape" paperSize="8" fitToHeight="0" fitToWidth="1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G76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20" customWidth="1" min="2" max="2"/>
    <ns0:col width="18" customWidth="1" min="3" max="3"/>
    <ns0:col width="18" customWidth="1" min="4" max="4"/>
    <ns0:col width="23" customWidth="1" min="5" max="5"/>
    <ns0:col width="23" customWidth="1" min="6" max="6"/>
    <ns0:col width="23" customWidth="1" min="7" max="7"/>
  </ns0:cols>
  <ns0:sheetData>
    <ns0:row r="1" ht="38" customHeight="1">
      <ns0:c r="A1" s="8" t="inlineStr">
        <ns0:is>
          <ns0:t>资源类型</ns0:t>
        </ns0:is>
      </ns0:c>
      <ns0:c r="B1" s="8" t="inlineStr">
        <ns0:is>
          <ns0:t>资源编号</ns0:t>
        </ns0:is>
      </ns0:c>
      <ns0:c r="C1" s="8" t="inlineStr">
        <ns0:is>
          <ns0:t>架次编号</ns0:t>
        </ns0:is>
      </ns0:c>
      <ns0:c r="D1" s="8" t="inlineStr">
        <ns0:is>
          <ns0:t>阶段</ns0:t>
        </ns0:is>
      </ns0:c>
      <ns0:c r="E1" s="8" t="inlineStr">
        <ns0:is>
          <ns0:t>开始s</ns0:t>
        </ns0:is>
      </ns0:c>
      <ns0:c r="F1" s="8" t="inlineStr">
        <ns0:is>
          <ns0:t>结束s</ns0:t>
        </ns0:is>
      </ns0:c>
      <ns0:c r="G1" s="8" t="inlineStr">
        <ns0:is>
          <ns0:t>时长s</ns0:t>
        </ns0:is>
      </ns0:c>
    </ns0:row>
    <ns0:row r="2" ht="25" customHeight="1">
      <ns0:c r="A2" s="2" t="inlineStr">
        <ns0:is>
          <ns0:t>无人机</ns0:t>
        </ns0:is>
      </ns0:c>
      <ns0:c r="B2" s="2" t="inlineStr">
        <ns0:is>
          <ns0:t>U01</ns0:t>
        </ns0:is>
      </ns0:c>
      <ns0:c r="C2" s="2" t="inlineStr">
        <ns0:is>
          <ns0:t>Q2-0002</ns0:t>
        </ns0:is>
      </ns0:c>
      <ns0:c r="D2" s="2" t="inlineStr">
        <ns0:is>
          <ns0:t>任务</ns0:t>
        </ns0:is>
      </ns0:c>
      <ns0:c r="E2" s="6" t="n">
        <ns0:f>'Q2_运输架次'!E3</ns0:f>
        <ns0:v>0.0</ns0:v>
      </ns0:c>
      <ns0:c r="F2" s="6" t="n">
        <ns0:f>'Q2_运输架次'!G3</ns0:f>
        <ns0:v>1250.9069627433817</ns0:v>
      </ns0:c>
      <ns0:c r="G2" s="6" t="n">
        <ns0:f>F2-E2</ns0:f>
        <ns0:v>1250.9069627433817</ns0:v>
      </ns0:c>
    </ns0:row>
    <ns0:row r="3" ht="25" customHeight="1">
      <ns0:c r="A3" s="2" t="inlineStr">
        <ns0:is>
          <ns0:t>无人机</ns0:t>
        </ns0:is>
      </ns0:c>
      <ns0:c r="B3" s="2" t="inlineStr">
        <ns0:is>
          <ns0:t>U01</ns0:t>
        </ns0:is>
      </ns0:c>
      <ns0:c r="C3" s="2" t="inlineStr">
        <ns0:is>
          <ns0:t>Q2-0010</ns0:t>
        </ns0:is>
      </ns0:c>
      <ns0:c r="D3" s="2" t="inlineStr">
        <ns0:is>
          <ns0:t>任务</ns0:t>
        </ns0:is>
      </ns0:c>
      <ns0:c r="E3" s="6" t="n">
        <ns0:f>'Q2_运输架次'!E11</ns0:f>
        <ns0:v>1250.9069627433817</ns0:v>
      </ns0:c>
      <ns0:c r="F3" s="6" t="n">
        <ns0:f>'Q2_运输架次'!G11</ns0:f>
        <ns0:v>3241.305848020131</ns0:v>
      </ns0:c>
      <ns0:c r="G3" s="6" t="n">
        <ns0:f>F3-E3</ns0:f>
        <ns0:v>1990.3988852767495</ns0:v>
      </ns0:c>
    </ns0:row>
    <ns0:row r="4" ht="25" customHeight="1">
      <ns0:c r="A4" s="2" t="inlineStr">
        <ns0:is>
          <ns0:t>无人机</ns0:t>
        </ns0:is>
      </ns0:c>
      <ns0:c r="B4" s="2" t="inlineStr">
        <ns0:is>
          <ns0:t>U02</ns0:t>
        </ns0:is>
      </ns0:c>
      <ns0:c r="C4" s="2" t="inlineStr">
        <ns0:is>
          <ns0:t>Q2-0001</ns0:t>
        </ns0:is>
      </ns0:c>
      <ns0:c r="D4" s="2" t="inlineStr">
        <ns0:is>
          <ns0:t>任务</ns0:t>
        </ns0:is>
      </ns0:c>
      <ns0:c r="E4" s="6" t="n">
        <ns0:f>'Q2_运输架次'!E2</ns0:f>
        <ns0:v>0.0</ns0:v>
      </ns0:c>
      <ns0:c r="F4" s="6" t="n">
        <ns0:f>'Q2_运输架次'!G2</ns0:f>
        <ns0:v>2215.8496081970998</ns0:v>
      </ns0:c>
      <ns0:c r="G4" s="6" t="n">
        <ns0:f>F4-E4</ns0:f>
        <ns0:v>2215.8496081970998</ns0:v>
      </ns0:c>
    </ns0:row>
    <ns0:row r="5" ht="25" customHeight="1">
      <ns0:c r="A5" s="2" t="inlineStr">
        <ns0:is>
          <ns0:t>无人机</ns0:t>
        </ns0:is>
      </ns0:c>
      <ns0:c r="B5" s="2" t="inlineStr">
        <ns0:is>
          <ns0:t>U02</ns0:t>
        </ns0:is>
      </ns0:c>
      <ns0:c r="C5" s="2" t="inlineStr">
        <ns0:is>
          <ns0:t>Q2-0015</ns0:t>
        </ns0:is>
      </ns0:c>
      <ns0:c r="D5" s="2" t="inlineStr">
        <ns0:is>
          <ns0:t>任务</ns0:t>
        </ns0:is>
      </ns0:c>
      <ns0:c r="E5" s="6" t="n">
        <ns0:f>'Q2_运输架次'!E16</ns0:f>
        <ns0:v>2215.8496081970998</ns0:v>
      </ns0:c>
      <ns0:c r="F5" s="6" t="n">
        <ns0:f>'Q2_运输架次'!G16</ns0:f>
        <ns0:v>3529.3262479769273</ns0:v>
      </ns0:c>
      <ns0:c r="G5" s="6" t="n">
        <ns0:f>F5-E5</ns0:f>
        <ns0:v>1313.4766397798276</ns0:v>
      </ns0:c>
    </ns0:row>
    <ns0:row r="6" ht="25" customHeight="1">
      <ns0:c r="A6" s="2" t="inlineStr">
        <ns0:is>
          <ns0:t>无人机</ns0:t>
        </ns0:is>
      </ns0:c>
      <ns0:c r="B6" s="2" t="inlineStr">
        <ns0:is>
          <ns0:t>U02</ns0:t>
        </ns0:is>
      </ns0:c>
      <ns0:c r="C6" s="2" t="inlineStr">
        <ns0:is>
          <ns0:t>Q2-0021</ns0:t>
        </ns0:is>
      </ns0:c>
      <ns0:c r="D6" s="2" t="inlineStr">
        <ns0:is>
          <ns0:t>任务</ns0:t>
        </ns0:is>
      </ns0:c>
      <ns0:c r="E6" s="6" t="n">
        <ns0:f>'Q2_运输架次'!E22</ns0:f>
        <ns0:v>4421.361371362955</ns0:v>
      </ns0:c>
      <ns0:c r="F6" s="6" t="n">
        <ns0:f>'Q2_运输架次'!G22</ns0:f>
        <ns0:v>6624.098601993215</ns0:v>
      </ns0:c>
      <ns0:c r="G6" s="6" t="n">
        <ns0:f>F6-E6</ns0:f>
        <ns0:v>2202.7372306302605</ns0:v>
      </ns0:c>
    </ns0:row>
    <ns0:row r="7" ht="25" customHeight="1">
      <ns0:c r="A7" s="2" t="inlineStr">
        <ns0:is>
          <ns0:t>无人机</ns0:t>
        </ns0:is>
      </ns0:c>
      <ns0:c r="B7" s="2" t="inlineStr">
        <ns0:is>
          <ns0:t>U03</ns0:t>
        </ns0:is>
      </ns0:c>
      <ns0:c r="C7" s="2" t="inlineStr">
        <ns0:is>
          <ns0:t>Q2-0003</ns0:t>
        </ns0:is>
      </ns0:c>
      <ns0:c r="D7" s="2" t="inlineStr">
        <ns0:is>
          <ns0:t>任务</ns0:t>
        </ns0:is>
      </ns0:c>
      <ns0:c r="E7" s="6" t="n">
        <ns0:f>'Q2_运输架次'!E4</ns0:f>
        <ns0:v>0.0</ns0:v>
      </ns0:c>
      <ns0:c r="F7" s="6" t="n">
        <ns0:f>'Q2_运输架次'!G4</ns0:f>
        <ns0:v>1313.4766397798276</ns0:v>
      </ns0:c>
      <ns0:c r="G7" s="6" t="n">
        <ns0:f>F7-E7</ns0:f>
        <ns0:v>1313.4766397798276</ns0:v>
      </ns0:c>
    </ns0:row>
    <ns0:row r="8" ht="25" customHeight="1">
      <ns0:c r="A8" s="2" t="inlineStr">
        <ns0:is>
          <ns0:t>无人机</ns0:t>
        </ns0:is>
      </ns0:c>
      <ns0:c r="B8" s="2" t="inlineStr">
        <ns0:is>
          <ns0:t>U03</ns0:t>
        </ns0:is>
      </ns0:c>
      <ns0:c r="C8" s="2" t="inlineStr">
        <ns0:is>
          <ns0:t>Q2-0011</ns0:t>
        </ns0:is>
      </ns0:c>
      <ns0:c r="D8" s="2" t="inlineStr">
        <ns0:is>
          <ns0:t>任务</ns0:t>
        </ns0:is>
      </ns0:c>
      <ns0:c r="E8" s="6" t="n">
        <ns0:f>'Q2_运输架次'!E12</ns0:f>
        <ns0:v>1313.4766397798276</ns0:v>
      </ns0:c>
      <ns0:c r="F8" s="6" t="n">
        <ns0:f>'Q2_运输架次'!G12</ns0:f>
        <ns0:v>3761.0392929901063</ns0:v>
      </ns0:c>
      <ns0:c r="G8" s="6" t="n">
        <ns0:f>F8-E8</ns0:f>
        <ns0:v>2447.5626532102788</ns0:v>
      </ns0:c>
    </ns0:row>
    <ns0:row r="9" ht="25" customHeight="1">
      <ns0:c r="A9" s="2" t="inlineStr">
        <ns0:is>
          <ns0:t>无人机</ns0:t>
        </ns0:is>
      </ns0:c>
      <ns0:c r="B9" s="2" t="inlineStr">
        <ns0:is>
          <ns0:t>U03</ns0:t>
        </ns0:is>
      </ns0:c>
      <ns0:c r="C9" s="2" t="inlineStr">
        <ns0:is>
          <ns0:t>Q2-0018</ns0:t>
        </ns0:is>
      </ns0:c>
      <ns0:c r="D9" s="2" t="inlineStr">
        <ns0:is>
          <ns0:t>任务</ns0:t>
        </ns0:is>
      </ns0:c>
      <ns0:c r="E9" s="6" t="n">
        <ns0:f>'Q2_运输架次'!E19</ns0:f>
        <ns0:v>3761.0392929901063</ns0:v>
      </ns0:c>
      <ns0:c r="F9" s="6" t="n">
        <ns0:f>'Q2_运输架次'!G19</ns0:f>
        <ns0:v>4983.067602929689</ns0:v>
      </ns0:c>
      <ns0:c r="G9" s="6" t="n">
        <ns0:f>F9-E9</ns0:f>
        <ns0:v>1222.0283099395829</ns0:v>
      </ns0:c>
    </ns0:row>
    <ns0:row r="10" ht="25" customHeight="1">
      <ns0:c r="A10" s="2" t="inlineStr">
        <ns0:is>
          <ns0:t>无人机</ns0:t>
        </ns0:is>
      </ns0:c>
      <ns0:c r="B10" s="2" t="inlineStr">
        <ns0:is>
          <ns0:t>U03</ns0:t>
        </ns0:is>
      </ns0:c>
      <ns0:c r="C10" s="2" t="inlineStr">
        <ns0:is>
          <ns0:t>Q2-0025</ns0:t>
        </ns0:is>
      </ns0:c>
      <ns0:c r="D10" s="2" t="inlineStr">
        <ns0:is>
          <ns0:t>任务</ns0:t>
        </ns0:is>
      </ns0:c>
      <ns0:c r="E10" s="6" t="n">
        <ns0:f>'Q2_运输架次'!E26</ns0:f>
        <ns0:v>5059.681327557928</ns0:v>
      </ns0:c>
      <ns0:c r="F10" s="6" t="n">
        <ns0:f>'Q2_运输架次'!G26</ns0:f>
        <ns0:v>6313.1579673377555</ns0:v>
      </ns0:c>
      <ns0:c r="G10" s="6" t="n">
        <ns0:f>F10-E10</ns0:f>
        <ns0:v>1253.4766397798276</ns0:v>
      </ns0:c>
    </ns0:row>
    <ns0:row r="11" ht="25" customHeight="1">
      <ns0:c r="A11" s="2" t="inlineStr">
        <ns0:is>
          <ns0:t>无人机</ns0:t>
        </ns0:is>
      </ns0:c>
      <ns0:c r="B11" s="2" t="inlineStr">
        <ns0:is>
          <ns0:t>U04</ns0:t>
        </ns0:is>
      </ns0:c>
      <ns0:c r="C11" s="2" t="inlineStr">
        <ns0:is>
          <ns0:t>Q2-0007</ns0:t>
        </ns0:is>
      </ns0:c>
      <ns0:c r="D11" s="2" t="inlineStr">
        <ns0:is>
          <ns0:t>任务</ns0:t>
        </ns0:is>
      </ns0:c>
      <ns0:c r="E11" s="6" t="n">
        <ns0:f>'Q2_运输架次'!E8</ns0:f>
        <ns0:v>0.0</ns0:v>
      </ns0:c>
      <ns0:c r="F11" s="6" t="n">
        <ns0:f>'Q2_运输架次'!G8</ns0:f>
        <ns0:v>1904.1870209659942</ns0:v>
      </ns0:c>
      <ns0:c r="G11" s="6" t="n">
        <ns0:f>F11-E11</ns0:f>
        <ns0:v>1904.1870209659942</ns0:v>
      </ns0:c>
    </ns0:row>
    <ns0:row r="12" ht="25" customHeight="1">
      <ns0:c r="A12" s="2" t="inlineStr">
        <ns0:is>
          <ns0:t>无人机</ns0:t>
        </ns0:is>
      </ns0:c>
      <ns0:c r="B12" s="2" t="inlineStr">
        <ns0:is>
          <ns0:t>U04</ns0:t>
        </ns0:is>
      </ns0:c>
      <ns0:c r="C12" s="2" t="inlineStr">
        <ns0:is>
          <ns0:t>Q2-0014</ns0:t>
        </ns0:is>
      </ns0:c>
      <ns0:c r="D12" s="2" t="inlineStr">
        <ns0:is>
          <ns0:t>任务</ns0:t>
        </ns0:is>
      </ns0:c>
      <ns0:c r="E12" s="6" t="n">
        <ns0:f>'Q2_运输架次'!E15</ns0:f>
        <ns0:v>2192.3725414043774</ns0:v>
      </ns0:c>
      <ns0:c r="F12" s="6" t="n">
        <ns0:f>'Q2_运输架次'!G15</ns0:f>
        <ns0:v>3804.535358633862</ns0:v>
      </ns0:c>
      <ns0:c r="G12" s="6" t="n">
        <ns0:f>F12-E12</ns0:f>
        <ns0:v>1612.1628172294845</ns0:v>
      </ns0:c>
    </ns0:row>
    <ns0:row r="13" ht="25" customHeight="1">
      <ns0:c r="A13" s="2" t="inlineStr">
        <ns0:is>
          <ns0:t>无人机</ns0:t>
        </ns0:is>
      </ns0:c>
      <ns0:c r="B13" s="2" t="inlineStr">
        <ns0:is>
          <ns0:t>U04</ns0:t>
        </ns0:is>
      </ns0:c>
      <ns0:c r="C13" s="2" t="inlineStr">
        <ns0:is>
          <ns0:t>Q2-0024</ns0:t>
        </ns0:is>
      </ns0:c>
      <ns0:c r="D13" s="2" t="inlineStr">
        <ns0:is>
          <ns0:t>任务</ns0:t>
        </ns0:is>
      </ns0:c>
      <ns0:c r="E13" s="6" t="n">
        <ns0:f>'Q2_运输架次'!E25</ns0:f>
        <ns0:v>4870.198777353984</ns0:v>
      </ns0:c>
      <ns0:c r="F13" s="6" t="n">
        <ns0:f>'Q2_运输架次'!G25</ns0:f>
        <ns0:v>6558.838423242309</ns0:v>
      </ns0:c>
      <ns0:c r="G13" s="6" t="n">
        <ns0:f>F13-E13</ns0:f>
        <ns0:v>1688.6396458883246</ns0:v>
      </ns0:c>
    </ns0:row>
    <ns0:row r="14" ht="25" customHeight="1">
      <ns0:c r="A14" s="2" t="inlineStr">
        <ns0:is>
          <ns0:t>无人机</ns0:t>
        </ns0:is>
      </ns0:c>
      <ns0:c r="B14" s="2" t="inlineStr">
        <ns0:is>
          <ns0:t>U05</ns0:t>
        </ns0:is>
      </ns0:c>
      <ns0:c r="C14" s="2" t="inlineStr">
        <ns0:is>
          <ns0:t>Q2-0005</ns0:t>
        </ns0:is>
      </ns0:c>
      <ns0:c r="D14" s="2" t="inlineStr">
        <ns0:is>
          <ns0:t>任务</ns0:t>
        </ns0:is>
      </ns0:c>
      <ns0:c r="E14" s="6" t="n">
        <ns0:f>'Q2_运输架次'!E6</ns0:f>
        <ns0:v>0.0</ns0:v>
      </ns0:c>
      <ns0:c r="F14" s="6" t="n">
        <ns0:f>'Q2_运输架次'!G6</ns0:f>
        <ns0:v>1147.2700113681328</ns0:v>
      </ns0:c>
      <ns0:c r="G14" s="6" t="n">
        <ns0:f>F14-E14</ns0:f>
        <ns0:v>1147.2700113681328</ns0:v>
      </ns0:c>
    </ns0:row>
    <ns0:row r="15" ht="25" customHeight="1">
      <ns0:c r="A15" s="2" t="inlineStr">
        <ns0:is>
          <ns0:t>无人机</ns0:t>
        </ns0:is>
      </ns0:c>
      <ns0:c r="B15" s="2" t="inlineStr">
        <ns0:is>
          <ns0:t>U05</ns0:t>
        </ns0:is>
      </ns0:c>
      <ns0:c r="C15" s="2" t="inlineStr">
        <ns0:is>
          <ns0:t>Q2-0009</ns0:t>
        </ns0:is>
      </ns0:c>
      <ns0:c r="D15" s="2" t="inlineStr">
        <ns0:is>
          <ns0:t>任务</ns0:t>
        </ns0:is>
      </ns0:c>
      <ns0:c r="E15" s="6" t="n">
        <ns0:f>'Q2_运输架次'!E10</ns0:f>
        <ns0:v>1147.2700113681328</ns0:v>
      </ns0:c>
      <ns0:c r="F15" s="6" t="n">
        <ns0:f>'Q2_运输架次'!G10</ns0:f>
        <ns0:v>2702.67353114835</ns0:v>
      </ns0:c>
      <ns0:c r="G15" s="6" t="n">
        <ns0:f>F15-E15</ns0:f>
        <ns0:v>1555.403519780217</ns0:v>
      </ns0:c>
    </ns0:row>
    <ns0:row r="16" ht="25" customHeight="1">
      <ns0:c r="A16" s="2" t="inlineStr">
        <ns0:is>
          <ns0:t>无人机</ns0:t>
        </ns0:is>
      </ns0:c>
      <ns0:c r="B16" s="2" t="inlineStr">
        <ns0:is>
          <ns0:t>U05</ns0:t>
        </ns0:is>
      </ns0:c>
      <ns0:c r="C16" s="2" t="inlineStr">
        <ns0:is>
          <ns0:t>Q2-0017</ns0:t>
        </ns0:is>
      </ns0:c>
      <ns0:c r="D16" s="2" t="inlineStr">
        <ns0:is>
          <ns0:t>任务</ns0:t>
        </ns0:is>
      </ns0:c>
      <ns0:c r="E16" s="6" t="n">
        <ns0:f>'Q2_运输架次'!E18</ns0:f>
        <ns0:v>2702.67353114835</ns0:v>
      </ns0:c>
      <ns0:c r="F16" s="6" t="n">
        <ns0:f>'Q2_运输架次'!G18</ns0:f>
        <ns0:v>4604.515278324053</ns0:v>
      </ns0:c>
      <ns0:c r="G16" s="6" t="n">
        <ns0:f>F16-E16</ns0:f>
        <ns0:v>1901.841747175703</ns0:v>
      </ns0:c>
    </ns0:row>
    <ns0:row r="17" ht="25" customHeight="1">
      <ns0:c r="A17" s="2" t="inlineStr">
        <ns0:is>
          <ns0:t>无人机</ns0:t>
        </ns0:is>
      </ns0:c>
      <ns0:c r="B17" s="2" t="inlineStr">
        <ns0:is>
          <ns0:t>U05</ns0:t>
        </ns0:is>
      </ns0:c>
      <ns0:c r="C17" s="2" t="inlineStr">
        <ns0:is>
          <ns0:t>Q2-0022</ns0:t>
        </ns0:is>
      </ns0:c>
      <ns0:c r="D17" s="2" t="inlineStr">
        <ns0:is>
          <ns0:t>任务</ns0:t>
        </ns0:is>
      </ns0:c>
      <ns0:c r="E17" s="6" t="n">
        <ns0:f>'Q2_运输架次'!E23</ns0:f>
        <ns0:v>4604.515278324053</ns0:v>
      </ns0:c>
      <ns0:c r="F17" s="6" t="n">
        <ns0:f>'Q2_运输架次'!G23</ns0:f>
        <ns0:v>6446.357025499756</ns0:v>
      </ns0:c>
      <ns0:c r="G17" s="6" t="n">
        <ns0:f>F17-E17</ns0:f>
        <ns0:v>1841.841747175703</ns0:v>
      </ns0:c>
    </ns0:row>
    <ns0:row r="18" ht="25" customHeight="1">
      <ns0:c r="A18" s="2" t="inlineStr">
        <ns0:is>
          <ns0:t>无人机</ns0:t>
        </ns0:is>
      </ns0:c>
      <ns0:c r="B18" s="2" t="inlineStr">
        <ns0:is>
          <ns0:t>U06</ns0:t>
        </ns0:is>
      </ns0:c>
      <ns0:c r="C18" s="2" t="inlineStr">
        <ns0:is>
          <ns0:t>Q2-0004</ns0:t>
        </ns0:is>
      </ns0:c>
      <ns0:c r="D18" s="2" t="inlineStr">
        <ns0:is>
          <ns0:t>任务</ns0:t>
        </ns0:is>
      </ns0:c>
      <ns0:c r="E18" s="6" t="n">
        <ns0:f>'Q2_运输架次'!E5</ns0:f>
        <ns0:v>0.0</ns0:v>
      </ns0:c>
      <ns0:c r="F18" s="6" t="n">
        <ns0:f>'Q2_运输架次'!G5</ns0:f>
        <ns0:v>1828.3275601736595</ns0:v>
      </ns0:c>
      <ns0:c r="G18" s="6" t="n">
        <ns0:f>F18-E18</ns0:f>
        <ns0:v>1828.3275601736595</ns0:v>
      </ns0:c>
    </ns0:row>
    <ns0:row r="19" ht="25" customHeight="1">
      <ns0:c r="A19" s="2" t="inlineStr">
        <ns0:is>
          <ns0:t>无人机</ns0:t>
        </ns0:is>
      </ns0:c>
      <ns0:c r="B19" s="2" t="inlineStr">
        <ns0:is>
          <ns0:t>U06</ns0:t>
        </ns0:is>
      </ns0:c>
      <ns0:c r="C19" s="2" t="inlineStr">
        <ns0:is>
          <ns0:t>Q2-0013</ns0:t>
        </ns0:is>
      </ns0:c>
      <ns0:c r="D19" s="2" t="inlineStr">
        <ns0:is>
          <ns0:t>任务</ns0:t>
        </ns0:is>
      </ns0:c>
      <ns0:c r="E19" s="6" t="n">
        <ns0:f>'Q2_运输架次'!E14</ns0:f>
        <ns0:v>1828.3275601736595</ns0:v>
      </ns0:c>
      <ns0:c r="F19" s="6" t="n">
        <ns0:f>'Q2_运输架次'!G14</ns0:f>
        <ns0:v>3751.1543743228467</ns0:v>
      </ns0:c>
      <ns0:c r="G19" s="6" t="n">
        <ns0:f>F19-E19</ns0:f>
        <ns0:v>1922.8268141491872</ns0:v>
      </ns0:c>
    </ns0:row>
    <ns0:row r="20" ht="25" customHeight="1">
      <ns0:c r="A20" s="2" t="inlineStr">
        <ns0:is>
          <ns0:t>无人机</ns0:t>
        </ns0:is>
      </ns0:c>
      <ns0:c r="B20" s="2" t="inlineStr">
        <ns0:is>
          <ns0:t>U06</ns0:t>
        </ns0:is>
      </ns0:c>
      <ns0:c r="C20" s="2" t="inlineStr">
        <ns0:is>
          <ns0:t>Q2-0020</ns0:t>
        </ns0:is>
      </ns0:c>
      <ns0:c r="D20" s="2" t="inlineStr">
        <ns0:is>
          <ns0:t>任务</ns0:t>
        </ns0:is>
      </ns0:c>
      <ns0:c r="E20" s="6" t="n">
        <ns0:f>'Q2_运输架次'!E21</ns0:f>
        <ns0:v>4159.419289790537</ns0:v>
      </ns0:c>
      <ns0:c r="F20" s="6" t="n">
        <ns0:f>'Q2_运输架次'!G21</ns0:f>
        <ns0:v>6365.406016846233</ns0:v>
      </ns0:c>
      <ns0:c r="G20" s="6" t="n">
        <ns0:f>F20-E20</ns0:f>
        <ns0:v>2205.986727055696</ns0:v>
      </ns0:c>
    </ns0:row>
    <ns0:row r="21" ht="25" customHeight="1">
      <ns0:c r="A21" s="2" t="inlineStr">
        <ns0:is>
          <ns0:t>无人机</ns0:t>
        </ns0:is>
      </ns0:c>
      <ns0:c r="B21" s="2" t="inlineStr">
        <ns0:is>
          <ns0:t>U07</ns0:t>
        </ns0:is>
      </ns0:c>
      <ns0:c r="C21" s="2" t="inlineStr">
        <ns0:is>
          <ns0:t>Q2-0008</ns0:t>
        </ns0:is>
      </ns0:c>
      <ns0:c r="D21" s="2" t="inlineStr">
        <ns0:is>
          <ns0:t>任务</ns0:t>
        </ns0:is>
      </ns0:c>
      <ns0:c r="E21" s="6" t="n">
        <ns0:f>'Q2_运输架次'!E9</ns0:f>
        <ns0:v>0.0</ns0:v>
      </ns0:c>
      <ns0:c r="F21" s="6" t="n">
        <ns0:f>'Q2_运输架次'!G9</ns0:f>
        <ns0:v>1692.175045862023</ns0:v>
      </ns0:c>
      <ns0:c r="G21" s="6" t="n">
        <ns0:f>F21-E21</ns0:f>
        <ns0:v>1692.175045862023</ns0:v>
      </ns0:c>
    </ns0:row>
    <ns0:row r="22" ht="25" customHeight="1">
      <ns0:c r="A22" s="2" t="inlineStr">
        <ns0:is>
          <ns0:t>无人机</ns0:t>
        </ns0:is>
      </ns0:c>
      <ns0:c r="B22" s="2" t="inlineStr">
        <ns0:is>
          <ns0:t>U07</ns0:t>
        </ns0:is>
      </ns0:c>
      <ns0:c r="C22" s="2" t="inlineStr">
        <ns0:is>
          <ns0:t>Q2-0012</ns0:t>
        </ns0:is>
      </ns0:c>
      <ns0:c r="D22" s="2" t="inlineStr">
        <ns0:is>
          <ns0:t>任务</ns0:t>
        </ns0:is>
      </ns0:c>
      <ns0:c r="E22" s="6" t="n">
        <ns0:f>'Q2_运输架次'!E13</ns0:f>
        <ns0:v>1692.175045862023</ns0:v>
      </ns0:c>
      <ns0:c r="F22" s="6" t="n">
        <ns0:f>'Q2_运输架次'!G13</ns0:f>
        <ns0:v>3866.0172118865776</ns0:v>
      </ns0:c>
      <ns0:c r="G22" s="6" t="n">
        <ns0:f>F22-E22</ns0:f>
        <ns0:v>2173.842166024555</ns0:v>
      </ns0:c>
    </ns0:row>
    <ns0:row r="23" ht="25" customHeight="1">
      <ns0:c r="A23" s="2" t="inlineStr">
        <ns0:is>
          <ns0:t>无人机</ns0:t>
        </ns0:is>
      </ns0:c>
      <ns0:c r="B23" s="2" t="inlineStr">
        <ns0:is>
          <ns0:t>U07</ns0:t>
        </ns0:is>
      </ns0:c>
      <ns0:c r="C23" s="2" t="inlineStr">
        <ns0:is>
          <ns0:t>Q2-0019</ns0:t>
        </ns0:is>
      </ns0:c>
      <ns0:c r="D23" s="2" t="inlineStr">
        <ns0:is>
          <ns0:t>任务</ns0:t>
        </ns0:is>
      </ns0:c>
      <ns0:c r="E23" s="6" t="n">
        <ns0:f>'Q2_运输架次'!E20</ns0:f>
        <ns0:v>3866.0172118865776</ns0:v>
      </ns0:c>
      <ns0:c r="F23" s="6" t="n">
        <ns0:f>'Q2_运输架次'!G20</ns0:f>
        <ns0:v>6368.194922985838</ns0:v>
      </ns0:c>
      <ns0:c r="G23" s="6" t="n">
        <ns0:f>F23-E23</ns0:f>
        <ns0:v>2502.1777110992607</ns0:v>
      </ns0:c>
    </ns0:row>
    <ns0:row r="24" ht="25" customHeight="1">
      <ns0:c r="A24" s="2" t="inlineStr">
        <ns0:is>
          <ns0:t>无人机</ns0:t>
        </ns0:is>
      </ns0:c>
      <ns0:c r="B24" s="2" t="inlineStr">
        <ns0:is>
          <ns0:t>U08</ns0:t>
        </ns0:is>
      </ns0:c>
      <ns0:c r="C24" s="2" t="inlineStr">
        <ns0:is>
          <ns0:t>Q2-0006</ns0:t>
        </ns0:is>
      </ns0:c>
      <ns0:c r="D24" s="2" t="inlineStr">
        <ns0:is>
          <ns0:t>任务</ns0:t>
        </ns0:is>
      </ns0:c>
      <ns0:c r="E24" s="6" t="n">
        <ns0:f>'Q2_运输架次'!E7</ns0:f>
        <ns0:v>0.0</ns0:v>
      </ns0:c>
      <ns0:c r="F24" s="6" t="n">
        <ns0:f>'Q2_运输架次'!G7</ns0:f>
        <ns0:v>2481.4377511439325</ns0:v>
      </ns0:c>
      <ns0:c r="G24" s="6" t="n">
        <ns0:f>F24-E24</ns0:f>
        <ns0:v>2481.4377511439325</ns0:v>
      </ns0:c>
    </ns0:row>
    <ns0:row r="25" ht="25" customHeight="1">
      <ns0:c r="A25" s="2" t="inlineStr">
        <ns0:is>
          <ns0:t>无人机</ns0:t>
        </ns0:is>
      </ns0:c>
      <ns0:c r="B25" s="2" t="inlineStr">
        <ns0:is>
          <ns0:t>U08</ns0:t>
        </ns0:is>
      </ns0:c>
      <ns0:c r="C25" s="2" t="inlineStr">
        <ns0:is>
          <ns0:t>Q2-0016</ns0:t>
        </ns0:is>
      </ns0:c>
      <ns0:c r="D25" s="2" t="inlineStr">
        <ns0:is>
          <ns0:t>任务</ns0:t>
        </ns0:is>
      </ns0:c>
      <ns0:c r="E25" s="6" t="n">
        <ns0:f>'Q2_运输架次'!E17</ns0:f>
        <ns0:v>2481.4377511439325</ns0:v>
      </ns0:c>
      <ns0:c r="F25" s="6" t="n">
        <ns0:f>'Q2_运输架次'!G17</ns0:f>
        <ns0:v>4782.4924699163785</ns0:v>
      </ns0:c>
      <ns0:c r="G25" s="6" t="n">
        <ns0:f>F25-E25</ns0:f>
        <ns0:v>2301.054718772446</ns0:v>
      </ns0:c>
    </ns0:row>
    <ns0:row r="26" ht="25" customHeight="1">
      <ns0:c r="A26" s="2" t="inlineStr">
        <ns0:is>
          <ns0:t>无人机</ns0:t>
        </ns0:is>
      </ns0:c>
      <ns0:c r="B26" s="2" t="inlineStr">
        <ns0:is>
          <ns0:t>U08</ns0:t>
        </ns0:is>
      </ns0:c>
      <ns0:c r="C26" s="2" t="inlineStr">
        <ns0:is>
          <ns0:t>Q2-0023</ns0:t>
        </ns0:is>
      </ns0:c>
      <ns0:c r="D26" s="2" t="inlineStr">
        <ns0:is>
          <ns0:t>任务</ns0:t>
        </ns0:is>
      </ns0:c>
      <ns0:c r="E26" s="6" t="n">
        <ns0:f>'Q2_运输架次'!E24</ns0:f>
        <ns0:v>4794.825616324702</ns0:v>
      </ns0:c>
      <ns0:c r="F26" s="6" t="n">
        <ns0:f>'Q2_运输架次'!G24</ns0:f>
        <ns0:v>6672.014331816174</ns0:v>
      </ns0:c>
      <ns0:c r="G26" s="6" t="n">
        <ns0:f>F26-E26</ns0:f>
        <ns0:v>1877.1887154914712</ns0:v>
      </ns0:c>
    </ns0:row>
    <ns0:row r="27" ht="25" customHeight="1">
      <ns0:c r="A27" s="2" t="inlineStr">
        <ns0:is>
          <ns0:t>电池</ns0:t>
        </ns0:is>
      </ns0:c>
      <ns0:c r="B27" s="2" t="inlineStr">
        <ns0:is>
          <ns0:t>A-BAT-01</ns0:t>
        </ns0:is>
      </ns0:c>
      <ns0:c r="C27" s="2" t="inlineStr">
        <ns0:is>
          <ns0:t>Q2-0007</ns0:t>
        </ns0:is>
      </ns0:c>
      <ns0:c r="D27" s="2" t="inlineStr">
        <ns0:is>
          <ns0:t>任务</ns0:t>
        </ns0:is>
      </ns0:c>
      <ns0:c r="E27" s="6" t="n">
        <ns0:f>'Q2_运输架次'!E8</ns0:f>
        <ns0:v>0.0</ns0:v>
      </ns0:c>
      <ns0:c r="F27" s="6" t="n">
        <ns0:f>'Q2_运输架次'!G8</ns0:f>
        <ns0:v>1904.1870209659942</ns0:v>
      </ns0:c>
      <ns0:c r="G27" s="6" t="n">
        <ns0:f>F27-E27</ns0:f>
        <ns0:v>1904.1870209659942</ns0:v>
      </ns0:c>
    </ns0:row>
    <ns0:row r="28" ht="25" customHeight="1">
      <ns0:c r="A28" s="2" t="inlineStr">
        <ns0:is>
          <ns0:t>电池</ns0:t>
        </ns0:is>
      </ns0:c>
      <ns0:c r="B28" s="2" t="inlineStr">
        <ns0:is>
          <ns0:t>A-BAT-01</ns0:t>
        </ns0:is>
      </ns0:c>
      <ns0:c r="C28" s="2" t="inlineStr">
        <ns0:is>
          <ns0:t>Q2-0007</ns0:t>
        </ns0:is>
      </ns0:c>
      <ns0:c r="D28" s="2" t="inlineStr">
        <ns0:is>
          <ns0:t>充电</ns0:t>
        </ns0:is>
      </ns0:c>
      <ns0:c r="E28" s="6" t="n">
        <ns0:f>'Q2_运输架次'!G8</ns0:f>
        <ns0:v>1904.1870209659942</ns0:v>
      </ns0:c>
      <ns0:c r="F28" s="6" t="n">
        <ns0:f>'核验_架次详情'!H8</ns0:f>
        <ns0:v>3037.8364616608083</ns0:v>
      </ns0:c>
      <ns0:c r="G28" s="6" t="n">
        <ns0:f>F28-E28</ns0:f>
        <ns0:v>1133.649440694814</ns0:v>
      </ns0:c>
    </ns0:row>
    <ns0:row r="29" ht="25" customHeight="1">
      <ns0:c r="A29" s="2" t="inlineStr">
        <ns0:is>
          <ns0:t>电池</ns0:t>
        </ns0:is>
      </ns0:c>
      <ns0:c r="B29" s="2" t="inlineStr">
        <ns0:is>
          <ns0:t>A-BAT-02</ns0:t>
        </ns0:is>
      </ns0:c>
      <ns0:c r="C29" s="2" t="inlineStr">
        <ns0:is>
          <ns0:t>Q2-0010</ns0:t>
        </ns0:is>
      </ns0:c>
      <ns0:c r="D29" s="2" t="inlineStr">
        <ns0:is>
          <ns0:t>任务</ns0:t>
        </ns0:is>
      </ns0:c>
      <ns0:c r="E29" s="6" t="n">
        <ns0:f>'Q2_运输架次'!E11</ns0:f>
        <ns0:v>1250.9069627433817</ns0:v>
      </ns0:c>
      <ns0:c r="F29" s="6" t="n">
        <ns0:f>'Q2_运输架次'!G11</ns0:f>
        <ns0:v>3241.305848020131</ns0:v>
      </ns0:c>
      <ns0:c r="G29" s="6" t="n">
        <ns0:f>F29-E29</ns0:f>
        <ns0:v>1990.3988852767495</ns0:v>
      </ns0:c>
    </ns0:row>
    <ns0:row r="30" ht="25" customHeight="1">
      <ns0:c r="A30" s="2" t="inlineStr">
        <ns0:is>
          <ns0:t>电池</ns0:t>
        </ns0:is>
      </ns0:c>
      <ns0:c r="B30" s="2" t="inlineStr">
        <ns0:is>
          <ns0:t>A-BAT-02</ns0:t>
        </ns0:is>
      </ns0:c>
      <ns0:c r="C30" s="2" t="inlineStr">
        <ns0:is>
          <ns0:t>Q2-0010</ns0:t>
        </ns0:is>
      </ns0:c>
      <ns0:c r="D30" s="2" t="inlineStr">
        <ns0:is>
          <ns0:t>充电</ns0:t>
        </ns0:is>
      </ns0:c>
      <ns0:c r="E30" s="6" t="n">
        <ns0:f>'Q2_运输架次'!G11</ns0:f>
        <ns0:v>3241.305848020131</ns0:v>
      </ns0:c>
      <ns0:c r="F30" s="6" t="n">
        <ns0:f>'核验_架次详情'!H11</ns0:f>
        <ns0:v>4425.806725095637</ns0:v>
      </ns0:c>
      <ns0:c r="G30" s="6" t="n">
        <ns0:f>F30-E30</ns0:f>
        <ns0:v>1184.5008770755062</ns0:v>
      </ns0:c>
    </ns0:row>
    <ns0:row r="31" ht="25" customHeight="1">
      <ns0:c r="A31" s="2" t="inlineStr">
        <ns0:is>
          <ns0:t>电池</ns0:t>
        </ns0:is>
      </ns0:c>
      <ns0:c r="B31" s="2" t="inlineStr">
        <ns0:is>
          <ns0:t>A-BAT-03</ns0:t>
        </ns0:is>
      </ns0:c>
      <ns0:c r="C31" s="2" t="inlineStr">
        <ns0:is>
          <ns0:t>Q2-0002</ns0:t>
        </ns0:is>
      </ns0:c>
      <ns0:c r="D31" s="2" t="inlineStr">
        <ns0:is>
          <ns0:t>任务</ns0:t>
        </ns0:is>
      </ns0:c>
      <ns0:c r="E31" s="6" t="n">
        <ns0:f>'Q2_运输架次'!E3</ns0:f>
        <ns0:v>0.0</ns0:v>
      </ns0:c>
      <ns0:c r="F31" s="6" t="n">
        <ns0:f>'Q2_运输架次'!G3</ns0:f>
        <ns0:v>1250.9069627433817</ns0:v>
      </ns0:c>
      <ns0:c r="G31" s="6" t="n">
        <ns0:f>F31-E31</ns0:f>
        <ns0:v>1250.9069627433817</ns0:v>
      </ns0:c>
    </ns0:row>
    <ns0:row r="32" ht="25" customHeight="1">
      <ns0:c r="A32" s="2" t="inlineStr">
        <ns0:is>
          <ns0:t>电池</ns0:t>
        </ns0:is>
      </ns0:c>
      <ns0:c r="B32" s="2" t="inlineStr">
        <ns0:is>
          <ns0:t>A-BAT-03</ns0:t>
        </ns0:is>
      </ns0:c>
      <ns0:c r="C32" s="2" t="inlineStr">
        <ns0:is>
          <ns0:t>Q2-0002</ns0:t>
        </ns0:is>
      </ns0:c>
      <ns0:c r="D32" s="2" t="inlineStr">
        <ns0:is>
          <ns0:t>充电</ns0:t>
        </ns0:is>
      </ns0:c>
      <ns0:c r="E32" s="6" t="n">
        <ns0:f>'Q2_运输架次'!G3</ns0:f>
        <ns0:v>1250.9069627433817</ns0:v>
      </ns0:c>
      <ns0:c r="F32" s="6" t="n">
        <ns0:f>'核验_架次详情'!H3</ns0:f>
        <ns0:v>2121.367603649314</ns0:v>
      </ns0:c>
      <ns0:c r="G32" s="6" t="n">
        <ns0:f>F32-E32</ns0:f>
        <ns0:v>870.4606409059322</ns0:v>
      </ns0:c>
    </ns0:row>
    <ns0:row r="33" ht="25" customHeight="1">
      <ns0:c r="A33" s="2" t="inlineStr">
        <ns0:is>
          <ns0:t>电池</ns0:t>
        </ns0:is>
      </ns0:c>
      <ns0:c r="B33" s="2" t="inlineStr">
        <ns0:is>
          <ns0:t>A-BAT-03</ns0:t>
        </ns0:is>
      </ns0:c>
      <ns0:c r="C33" s="2" t="inlineStr">
        <ns0:is>
          <ns0:t>Q2-0015</ns0:t>
        </ns0:is>
      </ns0:c>
      <ns0:c r="D33" s="2" t="inlineStr">
        <ns0:is>
          <ns0:t>任务</ns0:t>
        </ns0:is>
      </ns0:c>
      <ns0:c r="E33" s="6" t="n">
        <ns0:f>'Q2_运输架次'!E16</ns0:f>
        <ns0:v>2215.8496081970998</ns0:v>
      </ns0:c>
      <ns0:c r="F33" s="6" t="n">
        <ns0:f>'Q2_运输架次'!G16</ns0:f>
        <ns0:v>3529.3262479769273</ns0:v>
      </ns0:c>
      <ns0:c r="G33" s="6" t="n">
        <ns0:f>F33-E33</ns0:f>
        <ns0:v>1313.4766397798276</ns0:v>
      </ns0:c>
    </ns0:row>
    <ns0:row r="34" ht="25" customHeight="1">
      <ns0:c r="A34" s="2" t="inlineStr">
        <ns0:is>
          <ns0:t>电池</ns0:t>
        </ns0:is>
      </ns0:c>
      <ns0:c r="B34" s="2" t="inlineStr">
        <ns0:is>
          <ns0:t>A-BAT-03</ns0:t>
        </ns0:is>
      </ns0:c>
      <ns0:c r="C34" s="2" t="inlineStr">
        <ns0:is>
          <ns0:t>Q2-0015</ns0:t>
        </ns0:is>
      </ns0:c>
      <ns0:c r="D34" s="2" t="inlineStr">
        <ns0:is>
          <ns0:t>充电</ns0:t>
        </ns0:is>
      </ns0:c>
      <ns0:c r="E34" s="6" t="n">
        <ns0:f>'Q2_运输架次'!G16</ns0:f>
        <ns0:v>3529.3262479769273</ns0:v>
      </ns0:c>
      <ns0:c r="F34" s="6" t="n">
        <ns0:f>'核验_架次详情'!H16</ns0:f>
        <ns0:v>4421.361371362955</ns0:v>
      </ns0:c>
      <ns0:c r="G34" s="6" t="n">
        <ns0:f>F34-E34</ns0:f>
        <ns0:v>892.0351233860274</ns0:v>
      </ns0:c>
    </ns0:row>
    <ns0:row r="35" ht="25" customHeight="1">
      <ns0:c r="A35" s="2" t="inlineStr">
        <ns0:is>
          <ns0:t>电池</ns0:t>
        </ns0:is>
      </ns0:c>
      <ns0:c r="B35" s="2" t="inlineStr">
        <ns0:is>
          <ns0:t>A-BAT-03</ns0:t>
        </ns0:is>
      </ns0:c>
      <ns0:c r="C35" s="2" t="inlineStr">
        <ns0:is>
          <ns0:t>Q2-0021</ns0:t>
        </ns0:is>
      </ns0:c>
      <ns0:c r="D35" s="2" t="inlineStr">
        <ns0:is>
          <ns0:t>任务</ns0:t>
        </ns0:is>
      </ns0:c>
      <ns0:c r="E35" s="6" t="n">
        <ns0:f>'Q2_运输架次'!E22</ns0:f>
        <ns0:v>4421.361371362955</ns0:v>
      </ns0:c>
      <ns0:c r="F35" s="6" t="n">
        <ns0:f>'Q2_运输架次'!G22</ns0:f>
        <ns0:v>6624.098601993215</ns0:v>
      </ns0:c>
      <ns0:c r="G35" s="6" t="n">
        <ns0:f>F35-E35</ns0:f>
        <ns0:v>2202.7372306302605</ns0:v>
      </ns0:c>
    </ns0:row>
    <ns0:row r="36" ht="25" customHeight="1">
      <ns0:c r="A36" s="2" t="inlineStr">
        <ns0:is>
          <ns0:t>电池</ns0:t>
        </ns0:is>
      </ns0:c>
      <ns0:c r="B36" s="2" t="inlineStr">
        <ns0:is>
          <ns0:t>A-BAT-03</ns0:t>
        </ns0:is>
      </ns0:c>
      <ns0:c r="C36" s="2" t="inlineStr">
        <ns0:is>
          <ns0:t>Q2-0021</ns0:t>
        </ns0:is>
      </ns0:c>
      <ns0:c r="D36" s="2" t="inlineStr">
        <ns0:is>
          <ns0:t>充电</ns0:t>
        </ns0:is>
      </ns0:c>
      <ns0:c r="E36" s="6" t="n">
        <ns0:f>'Q2_运输架次'!G22</ns0:f>
        <ns0:v>6624.098601993215</ns0:v>
      </ns0:c>
      <ns0:c r="F36" s="6" t="n">
        <ns0:f>'核验_架次详情'!H22</ns0:f>
        <ns0:v>7971.050427339136</ns0:v>
      </ns0:c>
      <ns0:c r="G36" s="6" t="n">
        <ns0:f>F36-E36</ns0:f>
        <ns0:v>1346.951825345921</ns0:v>
      </ns0:c>
    </ns0:row>
    <ns0:row r="37" ht="25" customHeight="1">
      <ns0:c r="A37" s="2" t="inlineStr">
        <ns0:is>
          <ns0:t>电池</ns0:t>
        </ns0:is>
      </ns0:c>
      <ns0:c r="B37" s="2" t="inlineStr">
        <ns0:is>
          <ns0:t>A-BAT-04</ns0:t>
        </ns0:is>
      </ns0:c>
      <ns0:c r="C37" s="2" t="inlineStr">
        <ns0:is>
          <ns0:t>Q2-0001</ns0:t>
        </ns0:is>
      </ns0:c>
      <ns0:c r="D37" s="2" t="inlineStr">
        <ns0:is>
          <ns0:t>任务</ns0:t>
        </ns0:is>
      </ns0:c>
      <ns0:c r="E37" s="6" t="n">
        <ns0:f>'Q2_运输架次'!E2</ns0:f>
        <ns0:v>0.0</ns0:v>
      </ns0:c>
      <ns0:c r="F37" s="6" t="n">
        <ns0:f>'Q2_运输架次'!G2</ns0:f>
        <ns0:v>2215.8496081970998</ns0:v>
      </ns0:c>
      <ns0:c r="G37" s="6" t="n">
        <ns0:f>F37-E37</ns0:f>
        <ns0:v>2215.8496081970998</ns0:v>
      </ns0:c>
    </ns0:row>
    <ns0:row r="38" ht="25" customHeight="1">
      <ns0:c r="A38" s="2" t="inlineStr">
        <ns0:is>
          <ns0:t>电池</ns0:t>
        </ns0:is>
      </ns0:c>
      <ns0:c r="B38" s="2" t="inlineStr">
        <ns0:is>
          <ns0:t>A-BAT-04</ns0:t>
        </ns0:is>
      </ns0:c>
      <ns0:c r="C38" s="2" t="inlineStr">
        <ns0:is>
          <ns0:t>Q2-0001</ns0:t>
        </ns0:is>
      </ns0:c>
      <ns0:c r="D38" s="2" t="inlineStr">
        <ns0:is>
          <ns0:t>充电</ns0:t>
        </ns0:is>
      </ns0:c>
      <ns0:c r="E38" s="6" t="n">
        <ns0:f>'Q2_运输架次'!G2</ns0:f>
        <ns0:v>2215.8496081970998</ns0:v>
      </ns0:c>
      <ns0:c r="F38" s="6" t="n">
        <ns0:f>'核验_架次详情'!H2</ns0:f>
        <ns0:v>3586.9993351630405</ns0:v>
      </ns0:c>
      <ns0:c r="G38" s="6" t="n">
        <ns0:f>F38-E38</ns0:f>
        <ns0:v>1371.1497269659408</ns0:v>
      </ns0:c>
    </ns0:row>
    <ns0:row r="39" ht="25" customHeight="1">
      <ns0:c r="A39" s="2" t="inlineStr">
        <ns0:is>
          <ns0:t>电池</ns0:t>
        </ns0:is>
      </ns0:c>
      <ns0:c r="B39" s="2" t="inlineStr">
        <ns0:is>
          <ns0:t>A-BAT-04</ns0:t>
        </ns0:is>
      </ns0:c>
      <ns0:c r="C39" s="2" t="inlineStr">
        <ns0:is>
          <ns0:t>Q2-0018</ns0:t>
        </ns0:is>
      </ns0:c>
      <ns0:c r="D39" s="2" t="inlineStr">
        <ns0:is>
          <ns0:t>任务</ns0:t>
        </ns0:is>
      </ns0:c>
      <ns0:c r="E39" s="6" t="n">
        <ns0:f>'Q2_运输架次'!E19</ns0:f>
        <ns0:v>3761.0392929901063</ns0:v>
      </ns0:c>
      <ns0:c r="F39" s="6" t="n">
        <ns0:f>'Q2_运输架次'!G19</ns0:f>
        <ns0:v>4983.067602929689</ns0:v>
      </ns0:c>
      <ns0:c r="G39" s="6" t="n">
        <ns0:f>F39-E39</ns0:f>
        <ns0:v>1222.0283099395829</ns0:v>
      </ns0:c>
    </ns0:row>
    <ns0:row r="40" ht="25" customHeight="1">
      <ns0:c r="A40" s="2" t="inlineStr">
        <ns0:is>
          <ns0:t>电池</ns0:t>
        </ns0:is>
      </ns0:c>
      <ns0:c r="B40" s="2" t="inlineStr">
        <ns0:is>
          <ns0:t>A-BAT-04</ns0:t>
        </ns0:is>
      </ns0:c>
      <ns0:c r="C40" s="2" t="inlineStr">
        <ns0:is>
          <ns0:t>Q2-0018</ns0:t>
        </ns0:is>
      </ns0:c>
      <ns0:c r="D40" s="2" t="inlineStr">
        <ns0:is>
          <ns0:t>充电</ns0:t>
        </ns0:is>
      </ns0:c>
      <ns0:c r="E40" s="6" t="n">
        <ns0:f>'Q2_运输架次'!G19</ns0:f>
        <ns0:v>4983.067602929689</ns0:v>
      </ns0:c>
      <ns0:c r="F40" s="6" t="n">
        <ns0:f>'核验_架次详情'!H19</ns0:f>
        <ns0:v>5815.876214732914</ns0:v>
      </ns0:c>
      <ns0:c r="G40" s="6" t="n">
        <ns0:f>F40-E40</ns0:f>
        <ns0:v>832.8086118032252</ns0:v>
      </ns0:c>
    </ns0:row>
    <ns0:row r="41" ht="25" customHeight="1">
      <ns0:c r="A41" s="2" t="inlineStr">
        <ns0:is>
          <ns0:t>电池</ns0:t>
        </ns0:is>
      </ns0:c>
      <ns0:c r="B41" s="2" t="inlineStr">
        <ns0:is>
          <ns0:t>A-BAT-05</ns0:t>
        </ns0:is>
      </ns0:c>
      <ns0:c r="C41" s="2" t="inlineStr">
        <ns0:is>
          <ns0:t>Q2-0003</ns0:t>
        </ns0:is>
      </ns0:c>
      <ns0:c r="D41" s="2" t="inlineStr">
        <ns0:is>
          <ns0:t>任务</ns0:t>
        </ns0:is>
      </ns0:c>
      <ns0:c r="E41" s="6" t="n">
        <ns0:f>'Q2_运输架次'!E4</ns0:f>
        <ns0:v>0.0</ns0:v>
      </ns0:c>
      <ns0:c r="F41" s="6" t="n">
        <ns0:f>'Q2_运输架次'!G4</ns0:f>
        <ns0:v>1313.4766397798276</ns0:v>
      </ns0:c>
      <ns0:c r="G41" s="6" t="n">
        <ns0:f>F41-E41</ns0:f>
        <ns0:v>1313.4766397798276</ns0:v>
      </ns0:c>
    </ns0:row>
    <ns0:row r="42" ht="25" customHeight="1">
      <ns0:c r="A42" s="2" t="inlineStr">
        <ns0:is>
          <ns0:t>电池</ns0:t>
        </ns0:is>
      </ns0:c>
      <ns0:c r="B42" s="2" t="inlineStr">
        <ns0:is>
          <ns0:t>A-BAT-05</ns0:t>
        </ns0:is>
      </ns0:c>
      <ns0:c r="C42" s="2" t="inlineStr">
        <ns0:is>
          <ns0:t>Q2-0003</ns0:t>
        </ns0:is>
      </ns0:c>
      <ns0:c r="D42" s="2" t="inlineStr">
        <ns0:is>
          <ns0:t>充电</ns0:t>
        </ns0:is>
      </ns0:c>
      <ns0:c r="E42" s="6" t="n">
        <ns0:f>'Q2_运输架次'!G4</ns0:f>
        <ns0:v>1313.4766397798276</ns0:v>
      </ns0:c>
      <ns0:c r="F42" s="6" t="n">
        <ns0:f>'核验_架次详情'!H4</ns0:f>
        <ns0:v>2192.3725414043774</ns0:v>
      </ns0:c>
      <ns0:c r="G42" s="6" t="n">
        <ns0:f>F42-E42</ns0:f>
        <ns0:v>878.8959016245499</ns0:v>
      </ns0:c>
    </ns0:row>
    <ns0:row r="43" ht="25" customHeight="1">
      <ns0:c r="A43" s="2" t="inlineStr">
        <ns0:is>
          <ns0:t>电池</ns0:t>
        </ns0:is>
      </ns0:c>
      <ns0:c r="B43" s="2" t="inlineStr">
        <ns0:is>
          <ns0:t>A-BAT-05</ns0:t>
        </ns0:is>
      </ns0:c>
      <ns0:c r="C43" s="2" t="inlineStr">
        <ns0:is>
          <ns0:t>Q2-0014</ns0:t>
        </ns0:is>
      </ns0:c>
      <ns0:c r="D43" s="2" t="inlineStr">
        <ns0:is>
          <ns0:t>任务</ns0:t>
        </ns0:is>
      </ns0:c>
      <ns0:c r="E43" s="6" t="n">
        <ns0:f>'Q2_运输架次'!E15</ns0:f>
        <ns0:v>2192.3725414043774</ns0:v>
      </ns0:c>
      <ns0:c r="F43" s="6" t="n">
        <ns0:f>'Q2_运输架次'!G15</ns0:f>
        <ns0:v>3804.535358633862</ns0:v>
      </ns0:c>
      <ns0:c r="G43" s="6" t="n">
        <ns0:f>F43-E43</ns0:f>
        <ns0:v>1612.1628172294845</ns0:v>
      </ns0:c>
    </ns0:row>
    <ns0:row r="44" ht="25" customHeight="1">
      <ns0:c r="A44" s="2" t="inlineStr">
        <ns0:is>
          <ns0:t>电池</ns0:t>
        </ns0:is>
      </ns0:c>
      <ns0:c r="B44" s="2" t="inlineStr">
        <ns0:is>
          <ns0:t>A-BAT-05</ns0:t>
        </ns0:is>
      </ns0:c>
      <ns0:c r="C44" s="2" t="inlineStr">
        <ns0:is>
          <ns0:t>Q2-0014</ns0:t>
        </ns0:is>
      </ns0:c>
      <ns0:c r="D44" s="2" t="inlineStr">
        <ns0:is>
          <ns0:t>充电</ns0:t>
        </ns0:is>
      </ns0:c>
      <ns0:c r="E44" s="6" t="n">
        <ns0:f>'Q2_运输架次'!G15</ns0:f>
        <ns0:v>3804.535358633862</ns0:v>
      </ns0:c>
      <ns0:c r="F44" s="6" t="n">
        <ns0:f>'核验_架次详情'!H15</ns0:f>
        <ns0:v>4870.198777353984</ns0:v>
      </ns0:c>
      <ns0:c r="G44" s="6" t="n">
        <ns0:f>F44-E44</ns0:f>
        <ns0:v>1065.663418720122</ns0:v>
      </ns0:c>
    </ns0:row>
    <ns0:row r="45" ht="25" customHeight="1">
      <ns0:c r="A45" s="2" t="inlineStr">
        <ns0:is>
          <ns0:t>电池</ns0:t>
        </ns0:is>
      </ns0:c>
      <ns0:c r="B45" s="2" t="inlineStr">
        <ns0:is>
          <ns0:t>A-BAT-05</ns0:t>
        </ns0:is>
      </ns0:c>
      <ns0:c r="C45" s="2" t="inlineStr">
        <ns0:is>
          <ns0:t>Q2-0024</ns0:t>
        </ns0:is>
      </ns0:c>
      <ns0:c r="D45" s="2" t="inlineStr">
        <ns0:is>
          <ns0:t>任务</ns0:t>
        </ns0:is>
      </ns0:c>
      <ns0:c r="E45" s="6" t="n">
        <ns0:f>'Q2_运输架次'!E25</ns0:f>
        <ns0:v>4870.198777353984</ns0:v>
      </ns0:c>
      <ns0:c r="F45" s="6" t="n">
        <ns0:f>'Q2_运输架次'!G25</ns0:f>
        <ns0:v>6558.838423242309</ns0:v>
      </ns0:c>
      <ns0:c r="G45" s="6" t="n">
        <ns0:f>F45-E45</ns0:f>
        <ns0:v>1688.6396458883246</ns0:v>
      </ns0:c>
    </ns0:row>
    <ns0:row r="46" ht="25" customHeight="1">
      <ns0:c r="A46" s="2" t="inlineStr">
        <ns0:is>
          <ns0:t>电池</ns0:t>
        </ns0:is>
      </ns0:c>
      <ns0:c r="B46" s="2" t="inlineStr">
        <ns0:is>
          <ns0:t>A-BAT-05</ns0:t>
        </ns0:is>
      </ns0:c>
      <ns0:c r="C46" s="2" t="inlineStr">
        <ns0:is>
          <ns0:t>Q2-0024</ns0:t>
        </ns0:is>
      </ns0:c>
      <ns0:c r="D46" s="2" t="inlineStr">
        <ns0:is>
          <ns0:t>充电</ns0:t>
        </ns0:is>
      </ns0:c>
      <ns0:c r="E46" s="6" t="n">
        <ns0:f>'Q2_运输架次'!G25</ns0:f>
        <ns0:v>6558.838423242309</ns0:v>
      </ns0:c>
      <ns0:c r="F46" s="6" t="n">
        <ns0:f>'核验_架次详情'!H25</ns0:f>
        <ns0:v>7710.249228786268</ns0:v>
      </ns0:c>
      <ns0:c r="G46" s="6" t="n">
        <ns0:f>F46-E46</ns0:f>
        <ns0:v>1151.4108055439592</ns0:v>
      </ns0:c>
    </ns0:row>
    <ns0:row r="47" ht="25" customHeight="1">
      <ns0:c r="A47" s="2" t="inlineStr">
        <ns0:is>
          <ns0:t>电池</ns0:t>
        </ns0:is>
      </ns0:c>
      <ns0:c r="B47" s="2" t="inlineStr">
        <ns0:is>
          <ns0:t>A-BAT-06</ns0:t>
        </ns0:is>
      </ns0:c>
      <ns0:c r="C47" s="2" t="inlineStr">
        <ns0:is>
          <ns0:t>Q2-0011</ns0:t>
        </ns0:is>
      </ns0:c>
      <ns0:c r="D47" s="2" t="inlineStr">
        <ns0:is>
          <ns0:t>任务</ns0:t>
        </ns0:is>
      </ns0:c>
      <ns0:c r="E47" s="6" t="n">
        <ns0:f>'Q2_运输架次'!E12</ns0:f>
        <ns0:v>1313.4766397798276</ns0:v>
      </ns0:c>
      <ns0:c r="F47" s="6" t="n">
        <ns0:f>'Q2_运输架次'!G12</ns0:f>
        <ns0:v>3761.0392929901063</ns0:v>
      </ns0:c>
      <ns0:c r="G47" s="6" t="n">
        <ns0:f>F47-E47</ns0:f>
        <ns0:v>2447.5626532102788</ns0:v>
      </ns0:c>
    </ns0:row>
    <ns0:row r="48" ht="25" customHeight="1">
      <ns0:c r="A48" s="2" t="inlineStr">
        <ns0:is>
          <ns0:t>电池</ns0:t>
        </ns0:is>
      </ns0:c>
      <ns0:c r="B48" s="2" t="inlineStr">
        <ns0:is>
          <ns0:t>A-BAT-06</ns0:t>
        </ns0:is>
      </ns0:c>
      <ns0:c r="C48" s="2" t="inlineStr">
        <ns0:is>
          <ns0:t>Q2-0011</ns0:t>
        </ns0:is>
      </ns0:c>
      <ns0:c r="D48" s="2" t="inlineStr">
        <ns0:is>
          <ns0:t>充电</ns0:t>
        </ns0:is>
      </ns0:c>
      <ns0:c r="E48" s="6" t="n">
        <ns0:f>'Q2_运输架次'!G12</ns0:f>
        <ns0:v>3761.0392929901063</ns0:v>
      </ns0:c>
      <ns0:c r="F48" s="6" t="n">
        <ns0:f>'核验_架次详情'!H12</ns0:f>
        <ns0:v>5059.681327557928</ns0:v>
      </ns0:c>
      <ns0:c r="G48" s="6" t="n">
        <ns0:f>F48-E48</ns0:f>
        <ns0:v>1298.6420345678216</ns0:v>
      </ns0:c>
    </ns0:row>
    <ns0:row r="49" ht="25" customHeight="1">
      <ns0:c r="A49" s="2" t="inlineStr">
        <ns0:is>
          <ns0:t>电池</ns0:t>
        </ns0:is>
      </ns0:c>
      <ns0:c r="B49" s="2" t="inlineStr">
        <ns0:is>
          <ns0:t>A-BAT-06</ns0:t>
        </ns0:is>
      </ns0:c>
      <ns0:c r="C49" s="2" t="inlineStr">
        <ns0:is>
          <ns0:t>Q2-0025</ns0:t>
        </ns0:is>
      </ns0:c>
      <ns0:c r="D49" s="2" t="inlineStr">
        <ns0:is>
          <ns0:t>任务</ns0:t>
        </ns0:is>
      </ns0:c>
      <ns0:c r="E49" s="6" t="n">
        <ns0:f>'Q2_运输架次'!E26</ns0:f>
        <ns0:v>5059.681327557928</ns0:v>
      </ns0:c>
      <ns0:c r="F49" s="6" t="n">
        <ns0:f>'Q2_运输架次'!G26</ns0:f>
        <ns0:v>6313.1579673377555</ns0:v>
      </ns0:c>
      <ns0:c r="G49" s="6" t="n">
        <ns0:f>F49-E49</ns0:f>
        <ns0:v>1253.4766397798276</ns0:v>
      </ns0:c>
    </ns0:row>
    <ns0:row r="50" ht="25" customHeight="1">
      <ns0:c r="A50" s="2" t="inlineStr">
        <ns0:is>
          <ns0:t>电池</ns0:t>
        </ns0:is>
      </ns0:c>
      <ns0:c r="B50" s="2" t="inlineStr">
        <ns0:is>
          <ns0:t>A-BAT-06</ns0:t>
        </ns0:is>
      </ns0:c>
      <ns0:c r="C50" s="2" t="inlineStr">
        <ns0:is>
          <ns0:t>Q2-0025</ns0:t>
        </ns0:is>
      </ns0:c>
      <ns0:c r="D50" s="2" t="inlineStr">
        <ns0:is>
          <ns0:t>充电</ns0:t>
        </ns0:is>
      </ns0:c>
      <ns0:c r="E50" s="6" t="n">
        <ns0:f>'Q2_运输架次'!G26</ns0:f>
        <ns0:v>6313.1579673377555</ns0:v>
      </ns0:c>
      <ns0:c r="F50" s="6" t="n">
        <ns0:f>'核验_架次详情'!H26</ns0:f>
        <ns0:v>7172.248442779757</ns0:v>
      </ns0:c>
      <ns0:c r="G50" s="6" t="n">
        <ns0:f>F50-E50</ns0:f>
        <ns0:v>859.0904754420017</ns0:v>
      </ns0:c>
    </ns0:row>
    <ns0:row r="51" ht="25" customHeight="1">
      <ns0:c r="A51" s="2" t="inlineStr">
        <ns0:is>
          <ns0:t>电池</ns0:t>
        </ns0:is>
      </ns0:c>
      <ns0:c r="B51" s="2" t="inlineStr">
        <ns0:is>
          <ns0:t>B-BAT-01</ns0:t>
        </ns0:is>
      </ns0:c>
      <ns0:c r="C51" s="2" t="inlineStr">
        <ns0:is>
          <ns0:t>Q2-0004</ns0:t>
        </ns0:is>
      </ns0:c>
      <ns0:c r="D51" s="2" t="inlineStr">
        <ns0:is>
          <ns0:t>任务</ns0:t>
        </ns0:is>
      </ns0:c>
      <ns0:c r="E51" s="6" t="n">
        <ns0:f>'Q2_运输架次'!E5</ns0:f>
        <ns0:v>0.0</ns0:v>
      </ns0:c>
      <ns0:c r="F51" s="6" t="n">
        <ns0:f>'Q2_运输架次'!G5</ns0:f>
        <ns0:v>1828.3275601736595</ns0:v>
      </ns0:c>
      <ns0:c r="G51" s="6" t="n">
        <ns0:f>F51-E51</ns0:f>
        <ns0:v>1828.3275601736595</ns0:v>
      </ns0:c>
    </ns0:row>
    <ns0:row r="52" ht="25" customHeight="1">
      <ns0:c r="A52" s="2" t="inlineStr">
        <ns0:is>
          <ns0:t>电池</ns0:t>
        </ns0:is>
      </ns0:c>
      <ns0:c r="B52" s="2" t="inlineStr">
        <ns0:is>
          <ns0:t>B-BAT-01</ns0:t>
        </ns0:is>
      </ns0:c>
      <ns0:c r="C52" s="2" t="inlineStr">
        <ns0:is>
          <ns0:t>Q2-0004</ns0:t>
        </ns0:is>
      </ns0:c>
      <ns0:c r="D52" s="2" t="inlineStr">
        <ns0:is>
          <ns0:t>充电</ns0:t>
        </ns0:is>
      </ns0:c>
      <ns0:c r="E52" s="6" t="n">
        <ns0:f>'Q2_运输架次'!G5</ns0:f>
        <ns0:v>1828.3275601736595</ns0:v>
      </ns0:c>
      <ns0:c r="F52" s="6" t="n">
        <ns0:f>'核验_架次详情'!H5</ns0:f>
        <ns0:v>3494.9491729145975</ns0:v>
      </ns0:c>
      <ns0:c r="G52" s="6" t="n">
        <ns0:f>F52-E52</ns0:f>
        <ns0:v>1666.621612740938</ns0:v>
      </ns0:c>
    </ns0:row>
    <ns0:row r="53" ht="25" customHeight="1">
      <ns0:c r="A53" s="2" t="inlineStr">
        <ns0:is>
          <ns0:t>电池</ns0:t>
        </ns0:is>
      </ns0:c>
      <ns0:c r="B53" s="2" t="inlineStr">
        <ns0:is>
          <ns0:t>B-BAT-01</ns0:t>
        </ns0:is>
      </ns0:c>
      <ns0:c r="C53" s="2" t="inlineStr">
        <ns0:is>
          <ns0:t>Q2-0022</ns0:t>
        </ns0:is>
      </ns0:c>
      <ns0:c r="D53" s="2" t="inlineStr">
        <ns0:is>
          <ns0:t>任务</ns0:t>
        </ns0:is>
      </ns0:c>
      <ns0:c r="E53" s="6" t="n">
        <ns0:f>'Q2_运输架次'!E23</ns0:f>
        <ns0:v>4604.515278324053</ns0:v>
      </ns0:c>
      <ns0:c r="F53" s="6" t="n">
        <ns0:f>'Q2_运输架次'!G23</ns0:f>
        <ns0:v>6446.357025499756</ns0:v>
      </ns0:c>
      <ns0:c r="G53" s="6" t="n">
        <ns0:f>F53-E53</ns0:f>
        <ns0:v>1841.841747175703</ns0:v>
      </ns0:c>
    </ns0:row>
    <ns0:row r="54" ht="25" customHeight="1">
      <ns0:c r="A54" s="2" t="inlineStr">
        <ns0:is>
          <ns0:t>电池</ns0:t>
        </ns0:is>
      </ns0:c>
      <ns0:c r="B54" s="2" t="inlineStr">
        <ns0:is>
          <ns0:t>B-BAT-01</ns0:t>
        </ns0:is>
      </ns0:c>
      <ns0:c r="C54" s="2" t="inlineStr">
        <ns0:is>
          <ns0:t>Q2-0022</ns0:t>
        </ns0:is>
      </ns0:c>
      <ns0:c r="D54" s="2" t="inlineStr">
        <ns0:is>
          <ns0:t>充电</ns0:t>
        </ns0:is>
      </ns0:c>
      <ns0:c r="E54" s="6" t="n">
        <ns0:f>'Q2_运输架次'!G23</ns0:f>
        <ns0:v>6446.357025499756</ns0:v>
      </ns0:c>
      <ns0:c r="F54" s="6" t="n">
        <ns0:f>'核验_架次详情'!H23</ns0:f>
        <ns0:v>8235.083964156249</ns0:v>
      </ns0:c>
      <ns0:c r="G54" s="6" t="n">
        <ns0:f>F54-E54</ns0:f>
        <ns0:v>1788.726938656493</ns0:v>
      </ns0:c>
    </ns0:row>
    <ns0:row r="55" ht="25" customHeight="1">
      <ns0:c r="A55" s="2" t="inlineStr">
        <ns0:is>
          <ns0:t>电池</ns0:t>
        </ns0:is>
      </ns0:c>
      <ns0:c r="B55" s="2" t="inlineStr">
        <ns0:is>
          <ns0:t>B-BAT-02</ns0:t>
        </ns0:is>
      </ns0:c>
      <ns0:c r="C55" s="2" t="inlineStr">
        <ns0:is>
          <ns0:t>Q2-0013</ns0:t>
        </ns0:is>
      </ns0:c>
      <ns0:c r="D55" s="2" t="inlineStr">
        <ns0:is>
          <ns0:t>任务</ns0:t>
        </ns0:is>
      </ns0:c>
      <ns0:c r="E55" s="6" t="n">
        <ns0:f>'Q2_运输架次'!E14</ns0:f>
        <ns0:v>1828.3275601736595</ns0:v>
      </ns0:c>
      <ns0:c r="F55" s="6" t="n">
        <ns0:f>'Q2_运输架次'!G14</ns0:f>
        <ns0:v>3751.1543743228467</ns0:v>
      </ns0:c>
      <ns0:c r="G55" s="6" t="n">
        <ns0:f>F55-E55</ns0:f>
        <ns0:v>1922.8268141491872</ns0:v>
      </ns0:c>
    </ns0:row>
    <ns0:row r="56" ht="25" customHeight="1">
      <ns0:c r="A56" s="2" t="inlineStr">
        <ns0:is>
          <ns0:t>电池</ns0:t>
        </ns0:is>
      </ns0:c>
      <ns0:c r="B56" s="2" t="inlineStr">
        <ns0:is>
          <ns0:t>B-BAT-02</ns0:t>
        </ns0:is>
      </ns0:c>
      <ns0:c r="C56" s="2" t="inlineStr">
        <ns0:is>
          <ns0:t>Q2-0013</ns0:t>
        </ns0:is>
      </ns0:c>
      <ns0:c r="D56" s="2" t="inlineStr">
        <ns0:is>
          <ns0:t>充电</ns0:t>
        </ns0:is>
      </ns0:c>
      <ns0:c r="E56" s="6" t="n">
        <ns0:f>'Q2_运输架次'!G14</ns0:f>
        <ns0:v>3751.1543743228467</ns0:v>
      </ns0:c>
      <ns0:c r="F56" s="6" t="n">
        <ns0:f>'核验_架次详情'!H14</ns0:f>
        <ns0:v>5610.63361018697</ns0:v>
      </ns0:c>
      <ns0:c r="G56" s="6" t="n">
        <ns0:f>F56-E56</ns0:f>
        <ns0:v>1859.4792358641234</ns0:v>
      </ns0:c>
    </ns0:row>
    <ns0:row r="57" ht="25" customHeight="1">
      <ns0:c r="A57" s="2" t="inlineStr">
        <ns0:is>
          <ns0:t>电池</ns0:t>
        </ns0:is>
      </ns0:c>
      <ns0:c r="B57" s="2" t="inlineStr">
        <ns0:is>
          <ns0:t>B-BAT-03</ns0:t>
        </ns0:is>
      </ns0:c>
      <ns0:c r="C57" s="2" t="inlineStr">
        <ns0:is>
          <ns0:t>Q2-0005</ns0:t>
        </ns0:is>
      </ns0:c>
      <ns0:c r="D57" s="2" t="inlineStr">
        <ns0:is>
          <ns0:t>任务</ns0:t>
        </ns0:is>
      </ns0:c>
      <ns0:c r="E57" s="6" t="n">
        <ns0:f>'Q2_运输架次'!E6</ns0:f>
        <ns0:v>0.0</ns0:v>
      </ns0:c>
      <ns0:c r="F57" s="6" t="n">
        <ns0:f>'Q2_运输架次'!G6</ns0:f>
        <ns0:v>1147.2700113681328</ns0:v>
      </ns0:c>
      <ns0:c r="G57" s="6" t="n">
        <ns0:f>F57-E57</ns0:f>
        <ns0:v>1147.2700113681328</ns0:v>
      </ns0:c>
    </ns0:row>
    <ns0:row r="58" ht="25" customHeight="1">
      <ns0:c r="A58" s="2" t="inlineStr">
        <ns0:is>
          <ns0:t>电池</ns0:t>
        </ns0:is>
      </ns0:c>
      <ns0:c r="B58" s="2" t="inlineStr">
        <ns0:is>
          <ns0:t>B-BAT-03</ns0:t>
        </ns0:is>
      </ns0:c>
      <ns0:c r="C58" s="2" t="inlineStr">
        <ns0:is>
          <ns0:t>Q2-0005</ns0:t>
        </ns0:is>
      </ns0:c>
      <ns0:c r="D58" s="2" t="inlineStr">
        <ns0:is>
          <ns0:t>充电</ns0:t>
        </ns0:is>
      </ns0:c>
      <ns0:c r="E58" s="6" t="n">
        <ns0:f>'Q2_运输架次'!G6</ns0:f>
        <ns0:v>1147.2700113681328</ns0:v>
      </ns0:c>
      <ns0:c r="F58" s="6" t="n">
        <ns0:f>'核验_架次详情'!H6</ns0:f>
        <ns0:v>2275.987342283818</ns0:v>
      </ns0:c>
      <ns0:c r="G58" s="6" t="n">
        <ns0:f>F58-E58</ns0:f>
        <ns0:v>1128.7173309156854</ns0:v>
      </ns0:c>
    </ns0:row>
    <ns0:row r="59" ht="25" customHeight="1">
      <ns0:c r="A59" s="2" t="inlineStr">
        <ns0:is>
          <ns0:t>电池</ns0:t>
        </ns0:is>
      </ns0:c>
      <ns0:c r="B59" s="2" t="inlineStr">
        <ns0:is>
          <ns0:t>B-BAT-03</ns0:t>
        </ns0:is>
      </ns0:c>
      <ns0:c r="C59" s="2" t="inlineStr">
        <ns0:is>
          <ns0:t>Q2-0017</ns0:t>
        </ns0:is>
      </ns0:c>
      <ns0:c r="D59" s="2" t="inlineStr">
        <ns0:is>
          <ns0:t>任务</ns0:t>
        </ns0:is>
      </ns0:c>
      <ns0:c r="E59" s="6" t="n">
        <ns0:f>'Q2_运输架次'!E18</ns0:f>
        <ns0:v>2702.67353114835</ns0:v>
      </ns0:c>
      <ns0:c r="F59" s="6" t="n">
        <ns0:f>'Q2_运输架次'!G18</ns0:f>
        <ns0:v>4604.515278324053</ns0:v>
      </ns0:c>
      <ns0:c r="G59" s="6" t="n">
        <ns0:f>F59-E59</ns0:f>
        <ns0:v>1901.841747175703</ns0:v>
      </ns0:c>
    </ns0:row>
    <ns0:row r="60" ht="25" customHeight="1">
      <ns0:c r="A60" s="2" t="inlineStr">
        <ns0:is>
          <ns0:t>电池</ns0:t>
        </ns0:is>
      </ns0:c>
      <ns0:c r="B60" s="2" t="inlineStr">
        <ns0:is>
          <ns0:t>B-BAT-03</ns0:t>
        </ns0:is>
      </ns0:c>
      <ns0:c r="C60" s="2" t="inlineStr">
        <ns0:is>
          <ns0:t>Q2-0017</ns0:t>
        </ns0:is>
      </ns0:c>
      <ns0:c r="D60" s="2" t="inlineStr">
        <ns0:is>
          <ns0:t>充电</ns0:t>
        </ns0:is>
      </ns0:c>
      <ns0:c r="E60" s="6" t="n">
        <ns0:f>'Q2_运输架次'!G18</ns0:f>
        <ns0:v>4604.515278324053</ns0:v>
      </ns0:c>
      <ns0:c r="F60" s="6" t="n">
        <ns0:f>'核验_架次详情'!H18</ns0:f>
        <ns0:v>6468.684187250323</ns0:v>
      </ns0:c>
      <ns0:c r="G60" s="6" t="n">
        <ns0:f>F60-E60</ns0:f>
        <ns0:v>1864.16890892627</ns0:v>
      </ns0:c>
    </ns0:row>
    <ns0:row r="61" ht="25" customHeight="1">
      <ns0:c r="A61" s="2" t="inlineStr">
        <ns0:is>
          <ns0:t>电池</ns0:t>
        </ns0:is>
      </ns0:c>
      <ns0:c r="B61" s="2" t="inlineStr">
        <ns0:is>
          <ns0:t>B-BAT-04</ns0:t>
        </ns0:is>
      </ns0:c>
      <ns0:c r="C61" s="2" t="inlineStr">
        <ns0:is>
          <ns0:t>Q2-0009</ns0:t>
        </ns0:is>
      </ns0:c>
      <ns0:c r="D61" s="2" t="inlineStr">
        <ns0:is>
          <ns0:t>任务</ns0:t>
        </ns0:is>
      </ns0:c>
      <ns0:c r="E61" s="6" t="n">
        <ns0:f>'Q2_运输架次'!E10</ns0:f>
        <ns0:v>1147.2700113681328</ns0:v>
      </ns0:c>
      <ns0:c r="F61" s="6" t="n">
        <ns0:f>'Q2_运输架次'!G10</ns0:f>
        <ns0:v>2702.67353114835</ns0:v>
      </ns0:c>
      <ns0:c r="G61" s="6" t="n">
        <ns0:f>F61-E61</ns0:f>
        <ns0:v>1555.403519780217</ns0:v>
      </ns0:c>
    </ns0:row>
    <ns0:row r="62" ht="25" customHeight="1">
      <ns0:c r="A62" s="2" t="inlineStr">
        <ns0:is>
          <ns0:t>电池</ns0:t>
        </ns0:is>
      </ns0:c>
      <ns0:c r="B62" s="2" t="inlineStr">
        <ns0:is>
          <ns0:t>B-BAT-04</ns0:t>
        </ns0:is>
      </ns0:c>
      <ns0:c r="C62" s="2" t="inlineStr">
        <ns0:is>
          <ns0:t>Q2-0009</ns0:t>
        </ns0:is>
      </ns0:c>
      <ns0:c r="D62" s="2" t="inlineStr">
        <ns0:is>
          <ns0:t>充电</ns0:t>
        </ns0:is>
      </ns0:c>
      <ns0:c r="E62" s="6" t="n">
        <ns0:f>'Q2_运输架次'!G10</ns0:f>
        <ns0:v>2702.67353114835</ns0:v>
      </ns0:c>
      <ns0:c r="F62" s="6" t="n">
        <ns0:f>'核验_架次详情'!H10</ns0:f>
        <ns0:v>4159.419289790537</ns0:v>
      </ns0:c>
      <ns0:c r="G62" s="6" t="n">
        <ns0:f>F62-E62</ns0:f>
        <ns0:v>1456.745758642187</ns0:v>
      </ns0:c>
    </ns0:row>
    <ns0:row r="63" ht="25" customHeight="1">
      <ns0:c r="A63" s="2" t="inlineStr">
        <ns0:is>
          <ns0:t>电池</ns0:t>
        </ns0:is>
      </ns0:c>
      <ns0:c r="B63" s="2" t="inlineStr">
        <ns0:is>
          <ns0:t>B-BAT-04</ns0:t>
        </ns0:is>
      </ns0:c>
      <ns0:c r="C63" s="2" t="inlineStr">
        <ns0:is>
          <ns0:t>Q2-0020</ns0:t>
        </ns0:is>
      </ns0:c>
      <ns0:c r="D63" s="2" t="inlineStr">
        <ns0:is>
          <ns0:t>任务</ns0:t>
        </ns0:is>
      </ns0:c>
      <ns0:c r="E63" s="6" t="n">
        <ns0:f>'Q2_运输架次'!E21</ns0:f>
        <ns0:v>4159.419289790537</ns0:v>
      </ns0:c>
      <ns0:c r="F63" s="6" t="n">
        <ns0:f>'Q2_运输架次'!G21</ns0:f>
        <ns0:v>6365.406016846233</ns0:v>
      </ns0:c>
      <ns0:c r="G63" s="6" t="n">
        <ns0:f>F63-E63</ns0:f>
        <ns0:v>2205.986727055696</ns0:v>
      </ns0:c>
    </ns0:row>
    <ns0:row r="64" ht="25" customHeight="1">
      <ns0:c r="A64" s="2" t="inlineStr">
        <ns0:is>
          <ns0:t>电池</ns0:t>
        </ns0:is>
      </ns0:c>
      <ns0:c r="B64" s="2" t="inlineStr">
        <ns0:is>
          <ns0:t>B-BAT-04</ns0:t>
        </ns0:is>
      </ns0:c>
      <ns0:c r="C64" s="2" t="inlineStr">
        <ns0:is>
          <ns0:t>Q2-0020</ns0:t>
        </ns0:is>
      </ns0:c>
      <ns0:c r="D64" s="2" t="inlineStr">
        <ns0:is>
          <ns0:t>充电</ns0:t>
        </ns0:is>
      </ns0:c>
      <ns0:c r="E64" s="6" t="n">
        <ns0:f>'Q2_运输架次'!G21</ns0:f>
        <ns0:v>6365.406016846233</ns0:v>
      </ns0:c>
      <ns0:c r="F64" s="6" t="n">
        <ns0:f>'核验_架次详情'!H21</ns0:f>
        <ns0:v>8253.966167910981</ns0:v>
      </ns0:c>
      <ns0:c r="G64" s="6" t="n">
        <ns0:f>F64-E64</ns0:f>
        <ns0:v>1888.5601510647484</ns0:v>
      </ns0:c>
    </ns0:row>
    <ns0:row r="65" ht="25" customHeight="1">
      <ns0:c r="A65" s="2" t="inlineStr">
        <ns0:is>
          <ns0:t>电池</ns0:t>
        </ns0:is>
      </ns0:c>
      <ns0:c r="B65" s="2" t="inlineStr">
        <ns0:is>
          <ns0:t>C-BAT-01</ns0:t>
        </ns0:is>
      </ns0:c>
      <ns0:c r="C65" s="2" t="inlineStr">
        <ns0:is>
          <ns0:t>Q2-0006</ns0:t>
        </ns0:is>
      </ns0:c>
      <ns0:c r="D65" s="2" t="inlineStr">
        <ns0:is>
          <ns0:t>任务</ns0:t>
        </ns0:is>
      </ns0:c>
      <ns0:c r="E65" s="6" t="n">
        <ns0:f>'Q2_运输架次'!E7</ns0:f>
        <ns0:v>0.0</ns0:v>
      </ns0:c>
      <ns0:c r="F65" s="6" t="n">
        <ns0:f>'Q2_运输架次'!G7</ns0:f>
        <ns0:v>2481.4377511439325</ns0:v>
      </ns0:c>
      <ns0:c r="G65" s="6" t="n">
        <ns0:f>F65-E65</ns0:f>
        <ns0:v>2481.4377511439325</ns0:v>
      </ns0:c>
    </ns0:row>
    <ns0:row r="66" ht="25" customHeight="1">
      <ns0:c r="A66" s="2" t="inlineStr">
        <ns0:is>
          <ns0:t>电池</ns0:t>
        </ns0:is>
      </ns0:c>
      <ns0:c r="B66" s="2" t="inlineStr">
        <ns0:is>
          <ns0:t>C-BAT-01</ns0:t>
        </ns0:is>
      </ns0:c>
      <ns0:c r="C66" s="2" t="inlineStr">
        <ns0:is>
          <ns0:t>Q2-0006</ns0:t>
        </ns0:is>
      </ns0:c>
      <ns0:c r="D66" s="2" t="inlineStr">
        <ns0:is>
          <ns0:t>充电</ns0:t>
        </ns0:is>
      </ns0:c>
      <ns0:c r="E66" s="6" t="n">
        <ns0:f>'Q2_运输架次'!G7</ns0:f>
        <ns0:v>2481.4377511439325</ns0:v>
      </ns0:c>
      <ns0:c r="F66" s="6" t="n">
        <ns0:f>'核验_架次详情'!H7</ns0:f>
        <ns0:v>4794.825616324702</ns0:v>
      </ns0:c>
      <ns0:c r="G66" s="6" t="n">
        <ns0:f>F66-E66</ns0:f>
        <ns0:v>2313.38786518077</ns0:v>
      </ns0:c>
    </ns0:row>
    <ns0:row r="67" ht="25" customHeight="1">
      <ns0:c r="A67" s="2" t="inlineStr">
        <ns0:is>
          <ns0:t>电池</ns0:t>
        </ns0:is>
      </ns0:c>
      <ns0:c r="B67" s="2" t="inlineStr">
        <ns0:is>
          <ns0:t>C-BAT-01</ns0:t>
        </ns0:is>
      </ns0:c>
      <ns0:c r="C67" s="2" t="inlineStr">
        <ns0:is>
          <ns0:t>Q2-0023</ns0:t>
        </ns0:is>
      </ns0:c>
      <ns0:c r="D67" s="2" t="inlineStr">
        <ns0:is>
          <ns0:t>任务</ns0:t>
        </ns0:is>
      </ns0:c>
      <ns0:c r="E67" s="6" t="n">
        <ns0:f>'Q2_运输架次'!E24</ns0:f>
        <ns0:v>4794.825616324702</ns0:v>
      </ns0:c>
      <ns0:c r="F67" s="6" t="n">
        <ns0:f>'Q2_运输架次'!G24</ns0:f>
        <ns0:v>6672.014331816174</ns0:v>
      </ns0:c>
      <ns0:c r="G67" s="6" t="n">
        <ns0:f>F67-E67</ns0:f>
        <ns0:v>1877.1887154914712</ns0:v>
      </ns0:c>
    </ns0:row>
    <ns0:row r="68" ht="25" customHeight="1">
      <ns0:c r="A68" s="2" t="inlineStr">
        <ns0:is>
          <ns0:t>电池</ns0:t>
        </ns0:is>
      </ns0:c>
      <ns0:c r="B68" s="2" t="inlineStr">
        <ns0:is>
          <ns0:t>C-BAT-01</ns0:t>
        </ns0:is>
      </ns0:c>
      <ns0:c r="C68" s="2" t="inlineStr">
        <ns0:is>
          <ns0:t>Q2-0023</ns0:t>
        </ns0:is>
      </ns0:c>
      <ns0:c r="D68" s="2" t="inlineStr">
        <ns0:is>
          <ns0:t>充电</ns0:t>
        </ns0:is>
      </ns0:c>
      <ns0:c r="E68" s="6" t="n">
        <ns0:f>'Q2_运输架次'!G24</ns0:f>
        <ns0:v>6672.014331816174</ns0:v>
      </ns0:c>
      <ns0:c r="F68" s="6" t="n">
        <ns0:f>'核验_架次详情'!H24</ns0:f>
        <ns0:v>8648.855384830717</ns0:v>
      </ns0:c>
      <ns0:c r="G68" s="6" t="n">
        <ns0:f>F68-E68</ns0:f>
        <ns0:v>1976.841053014543</ns0:v>
      </ns0:c>
    </ns0:row>
    <ns0:row r="69" ht="25" customHeight="1">
      <ns0:c r="A69" s="2" t="inlineStr">
        <ns0:is>
          <ns0:t>电池</ns0:t>
        </ns0:is>
      </ns0:c>
      <ns0:c r="B69" s="2" t="inlineStr">
        <ns0:is>
          <ns0:t>C-BAT-02</ns0:t>
        </ns0:is>
      </ns0:c>
      <ns0:c r="C69" s="2" t="inlineStr">
        <ns0:is>
          <ns0:t>Q2-0016</ns0:t>
        </ns0:is>
      </ns0:c>
      <ns0:c r="D69" s="2" t="inlineStr">
        <ns0:is>
          <ns0:t>任务</ns0:t>
        </ns0:is>
      </ns0:c>
      <ns0:c r="E69" s="6" t="n">
        <ns0:f>'Q2_运输架次'!E17</ns0:f>
        <ns0:v>2481.4377511439325</ns0:v>
      </ns0:c>
      <ns0:c r="F69" s="6" t="n">
        <ns0:f>'Q2_运输架次'!G17</ns0:f>
        <ns0:v>4782.4924699163785</ns0:v>
      </ns0:c>
      <ns0:c r="G69" s="6" t="n">
        <ns0:f>F69-E69</ns0:f>
        <ns0:v>2301.054718772446</ns0:v>
      </ns0:c>
    </ns0:row>
    <ns0:row r="70" ht="25" customHeight="1">
      <ns0:c r="A70" s="2" t="inlineStr">
        <ns0:is>
          <ns0:t>电池</ns0:t>
        </ns0:is>
      </ns0:c>
      <ns0:c r="B70" s="2" t="inlineStr">
        <ns0:is>
          <ns0:t>C-BAT-02</ns0:t>
        </ns0:is>
      </ns0:c>
      <ns0:c r="C70" s="2" t="inlineStr">
        <ns0:is>
          <ns0:t>Q2-0016</ns0:t>
        </ns0:is>
      </ns0:c>
      <ns0:c r="D70" s="2" t="inlineStr">
        <ns0:is>
          <ns0:t>充电</ns0:t>
        </ns0:is>
      </ns0:c>
      <ns0:c r="E70" s="6" t="n">
        <ns0:f>'Q2_运输架次'!G17</ns0:f>
        <ns0:v>4782.4924699163785</ns0:v>
      </ns0:c>
      <ns0:c r="F70" s="6" t="n">
        <ns0:f>'核验_架次详情'!H17</ns0:f>
        <ns0:v>7282.241786157385</ns0:v>
      </ns0:c>
      <ns0:c r="G70" s="6" t="n">
        <ns0:f>F70-E70</ns0:f>
        <ns0:v>2499.7493162410065</ns0:v>
      </ns0:c>
    </ns0:row>
    <ns0:row r="71" ht="25" customHeight="1">
      <ns0:c r="A71" s="2" t="inlineStr">
        <ns0:is>
          <ns0:t>电池</ns0:t>
        </ns0:is>
      </ns0:c>
      <ns0:c r="B71" s="2" t="inlineStr">
        <ns0:is>
          <ns0:t>C-BAT-03</ns0:t>
        </ns0:is>
      </ns0:c>
      <ns0:c r="C71" s="2" t="inlineStr">
        <ns0:is>
          <ns0:t>Q2-0008</ns0:t>
        </ns0:is>
      </ns0:c>
      <ns0:c r="D71" s="2" t="inlineStr">
        <ns0:is>
          <ns0:t>任务</ns0:t>
        </ns0:is>
      </ns0:c>
      <ns0:c r="E71" s="6" t="n">
        <ns0:f>'Q2_运输架次'!E9</ns0:f>
        <ns0:v>0.0</ns0:v>
      </ns0:c>
      <ns0:c r="F71" s="6" t="n">
        <ns0:f>'Q2_运输架次'!G9</ns0:f>
        <ns0:v>1692.175045862023</ns0:v>
      </ns0:c>
      <ns0:c r="G71" s="6" t="n">
        <ns0:f>F71-E71</ns0:f>
        <ns0:v>1692.175045862023</ns0:v>
      </ns0:c>
    </ns0:row>
    <ns0:row r="72" ht="25" customHeight="1">
      <ns0:c r="A72" s="2" t="inlineStr">
        <ns0:is>
          <ns0:t>电池</ns0:t>
        </ns0:is>
      </ns0:c>
      <ns0:c r="B72" s="2" t="inlineStr">
        <ns0:is>
          <ns0:t>C-BAT-03</ns0:t>
        </ns0:is>
      </ns0:c>
      <ns0:c r="C72" s="2" t="inlineStr">
        <ns0:is>
          <ns0:t>Q2-0008</ns0:t>
        </ns0:is>
      </ns0:c>
      <ns0:c r="D72" s="2" t="inlineStr">
        <ns0:is>
          <ns0:t>充电</ns0:t>
        </ns0:is>
      </ns0:c>
      <ns0:c r="E72" s="6" t="n">
        <ns0:f>'Q2_运输架次'!G9</ns0:f>
        <ns0:v>1692.175045862023</ns0:v>
      </ns0:c>
      <ns0:c r="F72" s="6" t="n">
        <ns0:f>'核验_架次详情'!H9</ns0:f>
        <ns0:v>3315.6980907922093</ns0:v>
      </ns0:c>
      <ns0:c r="G72" s="6" t="n">
        <ns0:f>F72-E72</ns0:f>
        <ns0:v>1623.5230449301864</ns0:v>
      </ns0:c>
    </ns0:row>
    <ns0:row r="73" ht="25" customHeight="1">
      <ns0:c r="A73" s="2" t="inlineStr">
        <ns0:is>
          <ns0:t>电池</ns0:t>
        </ns0:is>
      </ns0:c>
      <ns0:c r="B73" s="2" t="inlineStr">
        <ns0:is>
          <ns0:t>C-BAT-03</ns0:t>
        </ns0:is>
      </ns0:c>
      <ns0:c r="C73" s="2" t="inlineStr">
        <ns0:is>
          <ns0:t>Q2-0019</ns0:t>
        </ns0:is>
      </ns0:c>
      <ns0:c r="D73" s="2" t="inlineStr">
        <ns0:is>
          <ns0:t>任务</ns0:t>
        </ns0:is>
      </ns0:c>
      <ns0:c r="E73" s="6" t="n">
        <ns0:f>'Q2_运输架次'!E20</ns0:f>
        <ns0:v>3866.0172118865776</ns0:v>
      </ns0:c>
      <ns0:c r="F73" s="6" t="n">
        <ns0:f>'Q2_运输架次'!G20</ns0:f>
        <ns0:v>6368.194922985838</ns0:v>
      </ns0:c>
      <ns0:c r="G73" s="6" t="n">
        <ns0:f>F73-E73</ns0:f>
        <ns0:v>2502.1777110992607</ns0:v>
      </ns0:c>
    </ns0:row>
    <ns0:row r="74" ht="25" customHeight="1">
      <ns0:c r="A74" s="2" t="inlineStr">
        <ns0:is>
          <ns0:t>电池</ns0:t>
        </ns0:is>
      </ns0:c>
      <ns0:c r="B74" s="2" t="inlineStr">
        <ns0:is>
          <ns0:t>C-BAT-03</ns0:t>
        </ns0:is>
      </ns0:c>
      <ns0:c r="C74" s="2" t="inlineStr">
        <ns0:is>
          <ns0:t>Q2-0019</ns0:t>
        </ns0:is>
      </ns0:c>
      <ns0:c r="D74" s="2" t="inlineStr">
        <ns0:is>
          <ns0:t>充电</ns0:t>
        </ns0:is>
      </ns0:c>
      <ns0:c r="E74" s="6" t="n">
        <ns0:f>'Q2_运输架次'!G20</ns0:f>
        <ns0:v>6368.194922985838</ns0:v>
      </ns0:c>
      <ns0:c r="F74" s="6" t="n">
        <ns0:f>'核验_架次详情'!H20</ns0:f>
        <ns0:v>8914.439773903563</ns0:v>
      </ns0:c>
      <ns0:c r="G74" s="6" t="n">
        <ns0:f>F74-E74</ns0:f>
        <ns0:v>2546.2448509177248</ns0:v>
      </ns0:c>
    </ns0:row>
    <ns0:row r="75" ht="25" customHeight="1">
      <ns0:c r="A75" s="2" t="inlineStr">
        <ns0:is>
          <ns0:t>电池</ns0:t>
        </ns0:is>
      </ns0:c>
      <ns0:c r="B75" s="2" t="inlineStr">
        <ns0:is>
          <ns0:t>C-BAT-04</ns0:t>
        </ns0:is>
      </ns0:c>
      <ns0:c r="C75" s="2" t="inlineStr">
        <ns0:is>
          <ns0:t>Q2-0012</ns0:t>
        </ns0:is>
      </ns0:c>
      <ns0:c r="D75" s="2" t="inlineStr">
        <ns0:is>
          <ns0:t>任务</ns0:t>
        </ns0:is>
      </ns0:c>
      <ns0:c r="E75" s="6" t="n">
        <ns0:f>'Q2_运输架次'!E13</ns0:f>
        <ns0:v>1692.175045862023</ns0:v>
      </ns0:c>
      <ns0:c r="F75" s="6" t="n">
        <ns0:f>'Q2_运输架次'!G13</ns0:f>
        <ns0:v>3866.0172118865776</ns0:v>
      </ns0:c>
      <ns0:c r="G75" s="6" t="n">
        <ns0:f>F75-E75</ns0:f>
        <ns0:v>2173.842166024555</ns0:v>
      </ns0:c>
    </ns0:row>
    <ns0:row r="76" ht="25" customHeight="1">
      <ns0:c r="A76" s="2" t="inlineStr">
        <ns0:is>
          <ns0:t>电池</ns0:t>
        </ns0:is>
      </ns0:c>
      <ns0:c r="B76" s="2" t="inlineStr">
        <ns0:is>
          <ns0:t>C-BAT-04</ns0:t>
        </ns0:is>
      </ns0:c>
      <ns0:c r="C76" s="2" t="inlineStr">
        <ns0:is>
          <ns0:t>Q2-0012</ns0:t>
        </ns0:is>
      </ns0:c>
      <ns0:c r="D76" s="2" t="inlineStr">
        <ns0:is>
          <ns0:t>充电</ns0:t>
        </ns0:is>
      </ns0:c>
      <ns0:c r="E76" s="6" t="n">
        <ns0:f>'Q2_运输架次'!G13</ns0:f>
        <ns0:v>3866.0172118865776</ns0:v>
      </ns0:c>
      <ns0:c r="F76" s="6" t="n">
        <ns0:f>'核验_架次详情'!H13</ns0:f>
        <ns0:v>6400.4575307267</ns0:v>
      </ns0:c>
      <ns0:c r="G76" s="6" t="n">
        <ns0:f>F76-E76</ns0:f>
        <ns0:v>2534.440318840122</ns0:v>
      </ns0:c>
    </ns0:row>
  </ns0:sheetData>
  <ns0:autoFilter ref="A1:G76"/>
  <ns0:pageMargins left="0.75" right="0.75" top="1" bottom="1" header="0.5" footer="0.5"/>
  <ns0:pageSetup orientation="landscape" paperSize="8" fitToHeight="0" fitToWidth="1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I23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4" customWidth="1" min="1" max="1"/>
    <ns0:col width="21" customWidth="1" min="2" max="2"/>
    <ns0:col width="17" customWidth="1" min="3" max="3"/>
    <ns0:col width="16" customWidth="1" min="4" max="4"/>
    <ns0:col width="23" customWidth="1" min="5" max="5"/>
    <ns0:col width="23" customWidth="1" min="6" max="6"/>
    <ns0:col width="23" customWidth="1" min="7" max="7"/>
    <ns0:col width="23" customWidth="1" min="8" max="8"/>
    <ns0:col width="21" customWidth="1" min="9" max="9"/>
  </ns0:cols>
  <ns0:sheetData>
    <ns0:row r="1" ht="38" customHeight="1">
      <ns0:c r="A1" s="8" t="inlineStr">
        <ns0:is>
          <ns0:t>资源类型</ns0:t>
        </ns0:is>
      </ns0:c>
      <ns0:c r="B1" s="8" t="inlineStr">
        <ns0:is>
          <ns0:t>资源编号</ns0:t>
        </ns0:is>
      </ns0:c>
      <ns0:c r="C1" s="8" t="inlineStr">
        <ns0:is>
          <ns0:t>机型编号</ns0:t>
        </ns0:is>
      </ns0:c>
      <ns0:c r="D1" s="8" t="inlineStr">
        <ns0:is>
          <ns0:t>使用次数</ns0:t>
        </ns0:is>
      </ns0:c>
      <ns0:c r="E1" s="8" t="inlineStr">
        <ns0:is>
          <ns0:t>任务总时长s</ns0:t>
        </ns0:is>
      </ns0:c>
      <ns0:c r="F1" s="8" t="inlineStr">
        <ns0:is>
          <ns0:t>充电总时长s</ns0:t>
        </ns0:is>
      </ns0:c>
      <ns0:c r="G1" s="8" t="inlineStr">
        <ns0:is>
          <ns0:t>最后返场s</ns0:t>
        </ns0:is>
      </ns0:c>
      <ns0:c r="H1" s="8" t="inlineStr">
        <ns0:is>
          <ns0:t>最后充满s</ns0:t>
        </ns0:is>
      </ns0:c>
      <ns0:c r="I1" s="8" t="inlineStr">
        <ns0:is>
          <ns0:t>无人机占用率</ns0:t>
        </ns0:is>
      </ns0:c>
    </ns0:row>
    <ns0:row r="2" ht="25" customHeight="1">
      <ns0:c r="A2" s="2" t="inlineStr">
        <ns0:is>
          <ns0:t>实体运输无人机</ns0:t>
        </ns0:is>
      </ns0:c>
      <ns0:c r="B2" s="2" t="inlineStr">
        <ns0:is>
          <ns0:t>U01</ns0:t>
        </ns0:is>
      </ns0:c>
      <ns0:c r="C2" s="2" t="inlineStr">
        <ns0:is>
          <ns0:t>A</ns0:t>
        </ns0:is>
      </ns0:c>
      <ns0:c r="D2" s="4" t="n">
        <ns0:f>COUNTA('Q2_运输架次'!A3,'Q2_运输架次'!A11)</ns0:f>
        <ns0:v>2</ns0:v>
      </ns0:c>
      <ns0:c r="E2" s="6" t="n">
        <ns0:f>SUM('核验_架次详情'!I3,'核验_架次详情'!I11)</ns0:f>
        <ns0:v>3241.305848020131</ns0:v>
      </ns0:c>
      <ns0:c r="F2" s="7" t="n"/>
      <ns0:c r="G2" s="6" t="n">
        <ns0:f>MAX('Q2_运输架次'!G3,'Q2_运输架次'!G11)</ns0:f>
        <ns0:v>3241.305848020131</ns0:v>
      </ns0:c>
      <ns0:c r="H2" s="7" t="n"/>
      <ns0:c r="I2" s="9" t="n">
        <ns0:f>E2/'指标汇总'!B4</ns0:f>
        <ns0:v>0.4858061878799686</ns0:v>
      </ns0:c>
    </ns0:row>
    <ns0:row r="3" ht="25" customHeight="1">
      <ns0:c r="A3" s="2" t="inlineStr">
        <ns0:is>
          <ns0:t>实体运输无人机</ns0:t>
        </ns0:is>
      </ns0:c>
      <ns0:c r="B3" s="2" t="inlineStr">
        <ns0:is>
          <ns0:t>U02</ns0:t>
        </ns0:is>
      </ns0:c>
      <ns0:c r="C3" s="2" t="inlineStr">
        <ns0:is>
          <ns0:t>A</ns0:t>
        </ns0:is>
      </ns0:c>
      <ns0:c r="D3" s="4" t="n">
        <ns0:f>COUNTA('Q2_运输架次'!A2,'Q2_运输架次'!A16,'Q2_运输架次'!A22)</ns0:f>
        <ns0:v>3</ns0:v>
      </ns0:c>
      <ns0:c r="E3" s="6" t="n">
        <ns0:f>SUM('核验_架次详情'!I2,'核验_架次详情'!I16,'核验_架次详情'!I22)</ns0:f>
        <ns0:v>5732.063478607188</ns0:v>
      </ns0:c>
      <ns0:c r="F3" s="7" t="n"/>
      <ns0:c r="G3" s="6" t="n">
        <ns0:f>MAX('Q2_运输架次'!G2,'Q2_运输架次'!G16,'Q2_运输架次'!G22)</ns0:f>
        <ns0:v>6624.098601993215</ns0:v>
      </ns0:c>
      <ns0:c r="H3" s="7" t="n"/>
      <ns0:c r="I3" s="9" t="n">
        <ns0:f>E3/'指标汇总'!B4</ns0:f>
        <ns0:v>0.8591203785749177</ns0:v>
      </ns0:c>
    </ns0:row>
    <ns0:row r="4" ht="25" customHeight="1">
      <ns0:c r="A4" s="2" t="inlineStr">
        <ns0:is>
          <ns0:t>实体运输无人机</ns0:t>
        </ns0:is>
      </ns0:c>
      <ns0:c r="B4" s="2" t="inlineStr">
        <ns0:is>
          <ns0:t>U03</ns0:t>
        </ns0:is>
      </ns0:c>
      <ns0:c r="C4" s="2" t="inlineStr">
        <ns0:is>
          <ns0:t>A</ns0:t>
        </ns0:is>
      </ns0:c>
      <ns0:c r="D4" s="4" t="n">
        <ns0:f>COUNTA('Q2_运输架次'!A4,'Q2_运输架次'!A12,'Q2_运输架次'!A19,'Q2_运输架次'!A26)</ns0:f>
        <ns0:v>4</ns0:v>
      </ns0:c>
      <ns0:c r="E4" s="6" t="n">
        <ns0:f>SUM('核验_架次详情'!I4,'核验_架次详情'!I12,'核验_架次详情'!I19,'核验_架次详情'!I26)</ns0:f>
        <ns0:v>6236.544242709517</ns0:v>
      </ns0:c>
      <ns0:c r="F4" s="7" t="n"/>
      <ns0:c r="G4" s="6" t="n">
        <ns0:f>MAX('Q2_运输架次'!G4,'Q2_运输架次'!G12,'Q2_运输架次'!G19,'Q2_运输架次'!G26)</ns0:f>
        <ns0:v>6313.1579673377555</ns0:v>
      </ns0:c>
      <ns0:c r="H4" s="7" t="n"/>
      <ns0:c r="I4" s="9" t="n">
        <ns0:f>E4/'指标汇总'!B4</ns0:f>
        <ns0:v>0.934731841472511</ns0:v>
      </ns0:c>
    </ns0:row>
    <ns0:row r="5" ht="25" customHeight="1">
      <ns0:c r="A5" s="2" t="inlineStr">
        <ns0:is>
          <ns0:t>实体运输无人机</ns0:t>
        </ns0:is>
      </ns0:c>
      <ns0:c r="B5" s="2" t="inlineStr">
        <ns0:is>
          <ns0:t>U04</ns0:t>
        </ns0:is>
      </ns0:c>
      <ns0:c r="C5" s="2" t="inlineStr">
        <ns0:is>
          <ns0:t>A</ns0:t>
        </ns0:is>
      </ns0:c>
      <ns0:c r="D5" s="4" t="n">
        <ns0:f>COUNTA('Q2_运输架次'!A8,'Q2_运输架次'!A15,'Q2_运输架次'!A25)</ns0:f>
        <ns0:v>3</ns0:v>
      </ns0:c>
      <ns0:c r="E5" s="6" t="n">
        <ns0:f>SUM('核验_架次详情'!I8,'核验_架次详情'!I15,'核验_架次详情'!I25)</ns0:f>
        <ns0:v>5204.989484083803</ns0:v>
      </ns0:c>
      <ns0:c r="F5" s="7" t="n"/>
      <ns0:c r="G5" s="6" t="n">
        <ns0:f>MAX('Q2_运输架次'!G8,'Q2_运输架次'!G15,'Q2_运输架次'!G25)</ns0:f>
        <ns0:v>6558.838423242309</ns0:v>
      </ns0:c>
      <ns0:c r="H5" s="7" t="n"/>
      <ns0:c r="I5" s="9" t="n">
        <ns0:f>E5/'指标汇总'!B4</ns0:f>
        <ns0:v>0.7801226474084874</ns0:v>
      </ns0:c>
    </ns0:row>
    <ns0:row r="6" ht="25" customHeight="1">
      <ns0:c r="A6" s="2" t="inlineStr">
        <ns0:is>
          <ns0:t>实体运输无人机</ns0:t>
        </ns0:is>
      </ns0:c>
      <ns0:c r="B6" s="2" t="inlineStr">
        <ns0:is>
          <ns0:t>U05</ns0:t>
        </ns0:is>
      </ns0:c>
      <ns0:c r="C6" s="2" t="inlineStr">
        <ns0:is>
          <ns0:t>B</ns0:t>
        </ns0:is>
      </ns0:c>
      <ns0:c r="D6" s="4" t="n">
        <ns0:f>COUNTA('Q2_运输架次'!A6,'Q2_运输架次'!A10,'Q2_运输架次'!A18,'Q2_运输架次'!A23)</ns0:f>
        <ns0:v>4</ns0:v>
      </ns0:c>
      <ns0:c r="E6" s="6" t="n">
        <ns0:f>SUM('核验_架次详情'!I6,'核验_架次详情'!I10,'核验_架次详情'!I18,'核验_架次详情'!I23)</ns0:f>
        <ns0:v>6446.357025499756</ns0:v>
      </ns0:c>
      <ns0:c r="F6" s="7" t="n"/>
      <ns0:c r="G6" s="6" t="n">
        <ns0:f>MAX('Q2_运输架次'!G6,'Q2_运输架次'!G10,'Q2_运输架次'!G18,'Q2_运输架次'!G23)</ns0:f>
        <ns0:v>6446.357025499756</ns0:v>
      </ns0:c>
      <ns0:c r="H6" s="7" t="n"/>
      <ns0:c r="I6" s="9" t="n">
        <ns0:f>E6/'指标汇总'!B4</ns0:f>
        <ns0:v>0.9661785339338455</ns0:v>
      </ns0:c>
    </ns0:row>
    <ns0:row r="7" ht="25" customHeight="1">
      <ns0:c r="A7" s="2" t="inlineStr">
        <ns0:is>
          <ns0:t>实体运输无人机</ns0:t>
        </ns0:is>
      </ns0:c>
      <ns0:c r="B7" s="2" t="inlineStr">
        <ns0:is>
          <ns0:t>U06</ns0:t>
        </ns0:is>
      </ns0:c>
      <ns0:c r="C7" s="2" t="inlineStr">
        <ns0:is>
          <ns0:t>B</ns0:t>
        </ns0:is>
      </ns0:c>
      <ns0:c r="D7" s="4" t="n">
        <ns0:f>COUNTA('Q2_运输架次'!A5,'Q2_运输架次'!A14,'Q2_运输架次'!A21)</ns0:f>
        <ns0:v>3</ns0:v>
      </ns0:c>
      <ns0:c r="E7" s="6" t="n">
        <ns0:f>SUM('核验_架次详情'!I5,'核验_架次详情'!I14,'核验_架次详情'!I21)</ns0:f>
        <ns0:v>5957.141101378543</ns0:v>
      </ns0:c>
      <ns0:c r="F7" s="7" t="n"/>
      <ns0:c r="G7" s="6" t="n">
        <ns0:f>MAX('Q2_运输架次'!G5,'Q2_运输架次'!G14,'Q2_运输架次'!G21)</ns0:f>
        <ns0:v>6365.406016846233</ns0:v>
      </ns0:c>
      <ns0:c r="H7" s="7" t="n"/>
      <ns0:c r="I7" s="9" t="n">
        <ns0:f>E7/'指标汇总'!B4</ns0:f>
        <ns0:v>0.8928549618023622</ns0:v>
      </ns0:c>
    </ns0:row>
    <ns0:row r="8" ht="25" customHeight="1">
      <ns0:c r="A8" s="2" t="inlineStr">
        <ns0:is>
          <ns0:t>实体运输无人机</ns0:t>
        </ns0:is>
      </ns0:c>
      <ns0:c r="B8" s="2" t="inlineStr">
        <ns0:is>
          <ns0:t>U07</ns0:t>
        </ns0:is>
      </ns0:c>
      <ns0:c r="C8" s="2" t="inlineStr">
        <ns0:is>
          <ns0:t>C</ns0:t>
        </ns0:is>
      </ns0:c>
      <ns0:c r="D8" s="4" t="n">
        <ns0:f>COUNTA('Q2_运输架次'!A9,'Q2_运输架次'!A13,'Q2_运输架次'!A20)</ns0:f>
        <ns0:v>3</ns0:v>
      </ns0:c>
      <ns0:c r="E8" s="6" t="n">
        <ns0:f>SUM('核验_架次详情'!I9,'核验_架次详情'!I13,'核验_架次详情'!I20)</ns0:f>
        <ns0:v>6368.194922985838</ns0:v>
      </ns0:c>
      <ns0:c r="F8" s="7" t="n"/>
      <ns0:c r="G8" s="6" t="n">
        <ns0:f>MAX('Q2_运输架次'!G9,'Q2_运输架次'!G13,'Q2_运输架次'!G20)</ns0:f>
        <ns0:v>6368.194922985838</ns0:v>
      </ns0:c>
      <ns0:c r="H8" s="7" t="n"/>
      <ns0:c r="I8" s="9" t="n">
        <ns0:f>E8/'指标汇总'!B4</ns0:f>
        <ns0:v>0.9544636156757725</ns0:v>
      </ns0:c>
    </ns0:row>
    <ns0:row r="9" ht="25" customHeight="1">
      <ns0:c r="A9" s="2" t="inlineStr">
        <ns0:is>
          <ns0:t>实体运输无人机</ns0:t>
        </ns0:is>
      </ns0:c>
      <ns0:c r="B9" s="2" t="inlineStr">
        <ns0:is>
          <ns0:t>U08</ns0:t>
        </ns0:is>
      </ns0:c>
      <ns0:c r="C9" s="2" t="inlineStr">
        <ns0:is>
          <ns0:t>C</ns0:t>
        </ns0:is>
      </ns0:c>
      <ns0:c r="D9" s="4" t="n">
        <ns0:f>COUNTA('Q2_运输架次'!A7,'Q2_运输架次'!A17,'Q2_运输架次'!A24)</ns0:f>
        <ns0:v>3</ns0:v>
      </ns0:c>
      <ns0:c r="E9" s="6" t="n">
        <ns0:f>SUM('核验_架次详情'!I7,'核验_架次详情'!I17,'核验_架次详情'!I24)</ns0:f>
        <ns0:v>6659.68118540785</ns0:v>
      </ns0:c>
      <ns0:c r="F9" s="7" t="n"/>
      <ns0:c r="G9" s="6" t="n">
        <ns0:f>MAX('Q2_运输架次'!G7,'Q2_运输架次'!G17,'Q2_运输架次'!G24)</ns0:f>
        <ns0:v>6672.014331816174</ns0:v>
      </ns0:c>
      <ns0:c r="H9" s="7" t="n"/>
      <ns0:c r="I9" s="9" t="n">
        <ns0:f>E9/'指标汇总'!B4</ns0:f>
        <ns0:v>0.9981515108039394</ns0:v>
      </ns0:c>
    </ns0:row>
    <ns0:row r="10" ht="25" customHeight="1">
      <ns0:c r="A10" s="2" t="inlineStr">
        <ns0:is>
          <ns0:t>共享电池</ns0:t>
        </ns0:is>
      </ns0:c>
      <ns0:c r="B10" s="2" t="inlineStr">
        <ns0:is>
          <ns0:t>A-BAT-01</ns0:t>
        </ns0:is>
      </ns0:c>
      <ns0:c r="C10" s="2" t="inlineStr">
        <ns0:is>
          <ns0:t>A</ns0:t>
        </ns0:is>
      </ns0:c>
      <ns0:c r="D10" s="4" t="n">
        <ns0:f>COUNTA('Q2_运输架次'!A8)</ns0:f>
        <ns0:v>1</ns0:v>
      </ns0:c>
      <ns0:c r="E10" s="6" t="n">
        <ns0:f>SUM('核验_架次详情'!I8)</ns0:f>
        <ns0:v>1904.1870209659942</ns0:v>
      </ns0:c>
      <ns0:c r="F10" s="6" t="n">
        <ns0:f>SUM('核验_架次详情'!J8)</ns0:f>
        <ns0:v>1133.649440694814</ns0:v>
      </ns0:c>
      <ns0:c r="G10" s="6" t="n">
        <ns0:f>MAX('Q2_运输架次'!G8)</ns0:f>
        <ns0:v>1904.1870209659942</ns0:v>
      </ns0:c>
      <ns0:c r="H10" s="6" t="n">
        <ns0:f>MAX('核验_架次详情'!H8)</ns0:f>
        <ns0:v>3037.8364616608083</ns0:v>
      </ns0:c>
      <ns0:c r="I10" s="7" t="n"/>
    </ns0:row>
    <ns0:row r="11" ht="25" customHeight="1">
      <ns0:c r="A11" s="2" t="inlineStr">
        <ns0:is>
          <ns0:t>共享电池</ns0:t>
        </ns0:is>
      </ns0:c>
      <ns0:c r="B11" s="2" t="inlineStr">
        <ns0:is>
          <ns0:t>A-BAT-02</ns0:t>
        </ns0:is>
      </ns0:c>
      <ns0:c r="C11" s="2" t="inlineStr">
        <ns0:is>
          <ns0:t>A</ns0:t>
        </ns0:is>
      </ns0:c>
      <ns0:c r="D11" s="4" t="n">
        <ns0:f>COUNTA('Q2_运输架次'!A11)</ns0:f>
        <ns0:v>1</ns0:v>
      </ns0:c>
      <ns0:c r="E11" s="6" t="n">
        <ns0:f>SUM('核验_架次详情'!I11)</ns0:f>
        <ns0:v>1990.3988852767495</ns0:v>
      </ns0:c>
      <ns0:c r="F11" s="6" t="n">
        <ns0:f>SUM('核验_架次详情'!J11)</ns0:f>
        <ns0:v>1184.5008770755062</ns0:v>
      </ns0:c>
      <ns0:c r="G11" s="6" t="n">
        <ns0:f>MAX('Q2_运输架次'!G11)</ns0:f>
        <ns0:v>3241.305848020131</ns0:v>
      </ns0:c>
      <ns0:c r="H11" s="6" t="n">
        <ns0:f>MAX('核验_架次详情'!H11)</ns0:f>
        <ns0:v>4425.806725095637</ns0:v>
      </ns0:c>
      <ns0:c r="I11" s="7" t="n"/>
    </ns0:row>
    <ns0:row r="12" ht="25" customHeight="1">
      <ns0:c r="A12" s="2" t="inlineStr">
        <ns0:is>
          <ns0:t>共享电池</ns0:t>
        </ns0:is>
      </ns0:c>
      <ns0:c r="B12" s="2" t="inlineStr">
        <ns0:is>
          <ns0:t>A-BAT-03</ns0:t>
        </ns0:is>
      </ns0:c>
      <ns0:c r="C12" s="2" t="inlineStr">
        <ns0:is>
          <ns0:t>A</ns0:t>
        </ns0:is>
      </ns0:c>
      <ns0:c r="D12" s="4" t="n">
        <ns0:f>COUNTA('Q2_运输架次'!A3,'Q2_运输架次'!A16,'Q2_运输架次'!A22)</ns0:f>
        <ns0:v>3</ns0:v>
      </ns0:c>
      <ns0:c r="E12" s="6" t="n">
        <ns0:f>SUM('核验_架次详情'!I3,'核验_架次详情'!I16,'核验_架次详情'!I22)</ns0:f>
        <ns0:v>4767.12083315347</ns0:v>
      </ns0:c>
      <ns0:c r="F12" s="6" t="n">
        <ns0:f>SUM('核验_架次详情'!J3,'核验_架次详情'!J16,'核验_架次详情'!J22)</ns0:f>
        <ns0:v>3109.447589637881</ns0:v>
      </ns0:c>
      <ns0:c r="G12" s="6" t="n">
        <ns0:f>MAX('Q2_运输架次'!G3,'Q2_运输架次'!G16,'Q2_运输架次'!G22)</ns0:f>
        <ns0:v>6624.098601993215</ns0:v>
      </ns0:c>
      <ns0:c r="H12" s="6" t="n">
        <ns0:f>MAX('核验_架次详情'!H3,'核验_架次详情'!H16,'核验_架次详情'!H22)</ns0:f>
        <ns0:v>7971.050427339136</ns0:v>
      </ns0:c>
      <ns0:c r="I12" s="7" t="n"/>
    </ns0:row>
    <ns0:row r="13" ht="25" customHeight="1">
      <ns0:c r="A13" s="2" t="inlineStr">
        <ns0:is>
          <ns0:t>共享电池</ns0:t>
        </ns0:is>
      </ns0:c>
      <ns0:c r="B13" s="2" t="inlineStr">
        <ns0:is>
          <ns0:t>A-BAT-04</ns0:t>
        </ns0:is>
      </ns0:c>
      <ns0:c r="C13" s="2" t="inlineStr">
        <ns0:is>
          <ns0:t>A</ns0:t>
        </ns0:is>
      </ns0:c>
      <ns0:c r="D13" s="4" t="n">
        <ns0:f>COUNTA('Q2_运输架次'!A2,'Q2_运输架次'!A19)</ns0:f>
        <ns0:v>2</ns0:v>
      </ns0:c>
      <ns0:c r="E13" s="6" t="n">
        <ns0:f>SUM('核验_架次详情'!I2,'核验_架次详情'!I19)</ns0:f>
        <ns0:v>3437.8779181366826</ns0:v>
      </ns0:c>
      <ns0:c r="F13" s="6" t="n">
        <ns0:f>SUM('核验_架次详情'!J2,'核验_架次详情'!J19)</ns0:f>
        <ns0:v>2203.958338769166</ns0:v>
      </ns0:c>
      <ns0:c r="G13" s="6" t="n">
        <ns0:f>MAX('Q2_运输架次'!G2,'Q2_运输架次'!G19)</ns0:f>
        <ns0:v>4983.067602929689</ns0:v>
      </ns0:c>
      <ns0:c r="H13" s="6" t="n">
        <ns0:f>MAX('核验_架次详情'!H2,'核验_架次详情'!H19)</ns0:f>
        <ns0:v>5815.876214732914</ns0:v>
      </ns0:c>
      <ns0:c r="I13" s="7" t="n"/>
    </ns0:row>
    <ns0:row r="14" ht="25" customHeight="1">
      <ns0:c r="A14" s="2" t="inlineStr">
        <ns0:is>
          <ns0:t>共享电池</ns0:t>
        </ns0:is>
      </ns0:c>
      <ns0:c r="B14" s="2" t="inlineStr">
        <ns0:is>
          <ns0:t>A-BAT-05</ns0:t>
        </ns0:is>
      </ns0:c>
      <ns0:c r="C14" s="2" t="inlineStr">
        <ns0:is>
          <ns0:t>A</ns0:t>
        </ns0:is>
      </ns0:c>
      <ns0:c r="D14" s="4" t="n">
        <ns0:f>COUNTA('Q2_运输架次'!A4,'Q2_运输架次'!A15,'Q2_运输架次'!A25)</ns0:f>
        <ns0:v>3</ns0:v>
      </ns0:c>
      <ns0:c r="E14" s="6" t="n">
        <ns0:f>SUM('核验_架次详情'!I4,'核验_架次详情'!I15,'核验_架次详情'!I25)</ns0:f>
        <ns0:v>4614.279102897637</ns0:v>
      </ns0:c>
      <ns0:c r="F14" s="6" t="n">
        <ns0:f>SUM('核验_架次详情'!J4,'核验_架次详情'!J15,'核验_架次详情'!J25)</ns0:f>
        <ns0:v>3095.970125888631</ns0:v>
      </ns0:c>
      <ns0:c r="G14" s="6" t="n">
        <ns0:f>MAX('Q2_运输架次'!G4,'Q2_运输架次'!G15,'Q2_运输架次'!G25)</ns0:f>
        <ns0:v>6558.838423242309</ns0:v>
      </ns0:c>
      <ns0:c r="H14" s="6" t="n">
        <ns0:f>MAX('核验_架次详情'!H4,'核验_架次详情'!H15,'核验_架次详情'!H25)</ns0:f>
        <ns0:v>7710.249228786268</ns0:v>
      </ns0:c>
      <ns0:c r="I14" s="7" t="n"/>
    </ns0:row>
    <ns0:row r="15" ht="25" customHeight="1">
      <ns0:c r="A15" s="2" t="inlineStr">
        <ns0:is>
          <ns0:t>共享电池</ns0:t>
        </ns0:is>
      </ns0:c>
      <ns0:c r="B15" s="2" t="inlineStr">
        <ns0:is>
          <ns0:t>A-BAT-06</ns0:t>
        </ns0:is>
      </ns0:c>
      <ns0:c r="C15" s="2" t="inlineStr">
        <ns0:is>
          <ns0:t>A</ns0:t>
        </ns0:is>
      </ns0:c>
      <ns0:c r="D15" s="4" t="n">
        <ns0:f>COUNTA('Q2_运输架次'!A12,'Q2_运输架次'!A26)</ns0:f>
        <ns0:v>2</ns0:v>
      </ns0:c>
      <ns0:c r="E15" s="6" t="n">
        <ns0:f>SUM('核验_架次详情'!I12,'核验_架次详情'!I26)</ns0:f>
        <ns0:v>3701.0392929901063</ns0:v>
      </ns0:c>
      <ns0:c r="F15" s="6" t="n">
        <ns0:f>SUM('核验_架次详情'!J12,'核验_架次详情'!J26)</ns0:f>
        <ns0:v>2157.7325100098233</ns0:v>
      </ns0:c>
      <ns0:c r="G15" s="6" t="n">
        <ns0:f>MAX('Q2_运输架次'!G12,'Q2_运输架次'!G26)</ns0:f>
        <ns0:v>6313.1579673377555</ns0:v>
      </ns0:c>
      <ns0:c r="H15" s="6" t="n">
        <ns0:f>MAX('核验_架次详情'!H12,'核验_架次详情'!H26)</ns0:f>
        <ns0:v>7172.248442779757</ns0:v>
      </ns0:c>
      <ns0:c r="I15" s="7" t="n"/>
    </ns0:row>
    <ns0:row r="16" ht="25" customHeight="1">
      <ns0:c r="A16" s="2" t="inlineStr">
        <ns0:is>
          <ns0:t>共享电池</ns0:t>
        </ns0:is>
      </ns0:c>
      <ns0:c r="B16" s="2" t="inlineStr">
        <ns0:is>
          <ns0:t>B-BAT-01</ns0:t>
        </ns0:is>
      </ns0:c>
      <ns0:c r="C16" s="2" t="inlineStr">
        <ns0:is>
          <ns0:t>B</ns0:t>
        </ns0:is>
      </ns0:c>
      <ns0:c r="D16" s="4" t="n">
        <ns0:f>COUNTA('Q2_运输架次'!A5,'Q2_运输架次'!A23)</ns0:f>
        <ns0:v>2</ns0:v>
      </ns0:c>
      <ns0:c r="E16" s="6" t="n">
        <ns0:f>SUM('核验_架次详情'!I5,'核验_架次详情'!I23)</ns0:f>
        <ns0:v>3670.1693073493625</ns0:v>
      </ns0:c>
      <ns0:c r="F16" s="6" t="n">
        <ns0:f>SUM('核验_架次详情'!J5,'核验_架次详情'!J23)</ns0:f>
        <ns0:v>3455.348551397431</ns0:v>
      </ns0:c>
      <ns0:c r="G16" s="6" t="n">
        <ns0:f>MAX('Q2_运输架次'!G5,'Q2_运输架次'!G23)</ns0:f>
        <ns0:v>6446.357025499756</ns0:v>
      </ns0:c>
      <ns0:c r="H16" s="6" t="n">
        <ns0:f>MAX('核验_架次详情'!H5,'核验_架次详情'!H23)</ns0:f>
        <ns0:v>8235.083964156249</ns0:v>
      </ns0:c>
      <ns0:c r="I16" s="7" t="n"/>
    </ns0:row>
    <ns0:row r="17" ht="25" customHeight="1">
      <ns0:c r="A17" s="2" t="inlineStr">
        <ns0:is>
          <ns0:t>共享电池</ns0:t>
        </ns0:is>
      </ns0:c>
      <ns0:c r="B17" s="2" t="inlineStr">
        <ns0:is>
          <ns0:t>B-BAT-02</ns0:t>
        </ns0:is>
      </ns0:c>
      <ns0:c r="C17" s="2" t="inlineStr">
        <ns0:is>
          <ns0:t>B</ns0:t>
        </ns0:is>
      </ns0:c>
      <ns0:c r="D17" s="4" t="n">
        <ns0:f>COUNTA('Q2_运输架次'!A14)</ns0:f>
        <ns0:v>1</ns0:v>
      </ns0:c>
      <ns0:c r="E17" s="6" t="n">
        <ns0:f>SUM('核验_架次详情'!I14)</ns0:f>
        <ns0:v>1922.8268141491872</ns0:v>
      </ns0:c>
      <ns0:c r="F17" s="6" t="n">
        <ns0:f>SUM('核验_架次详情'!J14)</ns0:f>
        <ns0:v>1859.4792358641234</ns0:v>
      </ns0:c>
      <ns0:c r="G17" s="6" t="n">
        <ns0:f>MAX('Q2_运输架次'!G14)</ns0:f>
        <ns0:v>3751.1543743228467</ns0:v>
      </ns0:c>
      <ns0:c r="H17" s="6" t="n">
        <ns0:f>MAX('核验_架次详情'!H14)</ns0:f>
        <ns0:v>5610.63361018697</ns0:v>
      </ns0:c>
      <ns0:c r="I17" s="7" t="n"/>
    </ns0:row>
    <ns0:row r="18" ht="25" customHeight="1">
      <ns0:c r="A18" s="2" t="inlineStr">
        <ns0:is>
          <ns0:t>共享电池</ns0:t>
        </ns0:is>
      </ns0:c>
      <ns0:c r="B18" s="2" t="inlineStr">
        <ns0:is>
          <ns0:t>B-BAT-03</ns0:t>
        </ns0:is>
      </ns0:c>
      <ns0:c r="C18" s="2" t="inlineStr">
        <ns0:is>
          <ns0:t>B</ns0:t>
        </ns0:is>
      </ns0:c>
      <ns0:c r="D18" s="4" t="n">
        <ns0:f>COUNTA('Q2_运输架次'!A6,'Q2_运输架次'!A18)</ns0:f>
        <ns0:v>2</ns0:v>
      </ns0:c>
      <ns0:c r="E18" s="6" t="n">
        <ns0:f>SUM('核验_架次详情'!I6,'核验_架次详情'!I18)</ns0:f>
        <ns0:v>3049.111758543836</ns0:v>
      </ns0:c>
      <ns0:c r="F18" s="6" t="n">
        <ns0:f>SUM('核验_架次详情'!J6,'核验_架次详情'!J18)</ns0:f>
        <ns0:v>2992.886239841955</ns0:v>
      </ns0:c>
      <ns0:c r="G18" s="6" t="n">
        <ns0:f>MAX('Q2_运输架次'!G6,'Q2_运输架次'!G18)</ns0:f>
        <ns0:v>4604.515278324053</ns0:v>
      </ns0:c>
      <ns0:c r="H18" s="6" t="n">
        <ns0:f>MAX('核验_架次详情'!H6,'核验_架次详情'!H18)</ns0:f>
        <ns0:v>6468.684187250323</ns0:v>
      </ns0:c>
      <ns0:c r="I18" s="7" t="n"/>
    </ns0:row>
    <ns0:row r="19" ht="25" customHeight="1">
      <ns0:c r="A19" s="2" t="inlineStr">
        <ns0:is>
          <ns0:t>共享电池</ns0:t>
        </ns0:is>
      </ns0:c>
      <ns0:c r="B19" s="2" t="inlineStr">
        <ns0:is>
          <ns0:t>B-BAT-04</ns0:t>
        </ns0:is>
      </ns0:c>
      <ns0:c r="C19" s="2" t="inlineStr">
        <ns0:is>
          <ns0:t>B</ns0:t>
        </ns0:is>
      </ns0:c>
      <ns0:c r="D19" s="4" t="n">
        <ns0:f>COUNTA('Q2_运输架次'!A10,'Q2_运输架次'!A21)</ns0:f>
        <ns0:v>2</ns0:v>
      </ns0:c>
      <ns0:c r="E19" s="6" t="n">
        <ns0:f>SUM('核验_架次详情'!I10,'核验_架次详情'!I21)</ns0:f>
        <ns0:v>3761.390246835913</ns0:v>
      </ns0:c>
      <ns0:c r="F19" s="6" t="n">
        <ns0:f>SUM('核验_架次详情'!J10,'核验_架次详情'!J21)</ns0:f>
        <ns0:v>3345.3059097069354</ns0:v>
      </ns0:c>
      <ns0:c r="G19" s="6" t="n">
        <ns0:f>MAX('Q2_运输架次'!G10,'Q2_运输架次'!G21)</ns0:f>
        <ns0:v>6365.406016846233</ns0:v>
      </ns0:c>
      <ns0:c r="H19" s="6" t="n">
        <ns0:f>MAX('核验_架次详情'!H10,'核验_架次详情'!H21)</ns0:f>
        <ns0:v>8253.966167910981</ns0:v>
      </ns0:c>
      <ns0:c r="I19" s="7" t="n"/>
    </ns0:row>
    <ns0:row r="20" ht="25" customHeight="1">
      <ns0:c r="A20" s="2" t="inlineStr">
        <ns0:is>
          <ns0:t>共享电池</ns0:t>
        </ns0:is>
      </ns0:c>
      <ns0:c r="B20" s="2" t="inlineStr">
        <ns0:is>
          <ns0:t>C-BAT-01</ns0:t>
        </ns0:is>
      </ns0:c>
      <ns0:c r="C20" s="2" t="inlineStr">
        <ns0:is>
          <ns0:t>C</ns0:t>
        </ns0:is>
      </ns0:c>
      <ns0:c r="D20" s="4" t="n">
        <ns0:f>COUNTA('Q2_运输架次'!A7,'Q2_运输架次'!A24)</ns0:f>
        <ns0:v>2</ns0:v>
      </ns0:c>
      <ns0:c r="E20" s="6" t="n">
        <ns0:f>SUM('核验_架次详情'!I7,'核验_架次详情'!I24)</ns0:f>
        <ns0:v>4358.626466635404</ns0:v>
      </ns0:c>
      <ns0:c r="F20" s="6" t="n">
        <ns0:f>SUM('核验_架次详情'!J7,'核验_架次详情'!J24)</ns0:f>
        <ns0:v>4290.228918195313</ns0:v>
      </ns0:c>
      <ns0:c r="G20" s="6" t="n">
        <ns0:f>MAX('Q2_运输架次'!G7,'Q2_运输架次'!G24)</ns0:f>
        <ns0:v>6672.014331816174</ns0:v>
      </ns0:c>
      <ns0:c r="H20" s="6" t="n">
        <ns0:f>MAX('核验_架次详情'!H7,'核验_架次详情'!H24)</ns0:f>
        <ns0:v>8648.855384830717</ns0:v>
      </ns0:c>
      <ns0:c r="I20" s="7" t="n"/>
    </ns0:row>
    <ns0:row r="21" ht="25" customHeight="1">
      <ns0:c r="A21" s="2" t="inlineStr">
        <ns0:is>
          <ns0:t>共享电池</ns0:t>
        </ns0:is>
      </ns0:c>
      <ns0:c r="B21" s="2" t="inlineStr">
        <ns0:is>
          <ns0:t>C-BAT-02</ns0:t>
        </ns0:is>
      </ns0:c>
      <ns0:c r="C21" s="2" t="inlineStr">
        <ns0:is>
          <ns0:t>C</ns0:t>
        </ns0:is>
      </ns0:c>
      <ns0:c r="D21" s="4" t="n">
        <ns0:f>COUNTA('Q2_运输架次'!A17)</ns0:f>
        <ns0:v>1</ns0:v>
      </ns0:c>
      <ns0:c r="E21" s="6" t="n">
        <ns0:f>SUM('核验_架次详情'!I17)</ns0:f>
        <ns0:v>2301.054718772446</ns0:v>
      </ns0:c>
      <ns0:c r="F21" s="6" t="n">
        <ns0:f>SUM('核验_架次详情'!J17)</ns0:f>
        <ns0:v>2499.7493162410065</ns0:v>
      </ns0:c>
      <ns0:c r="G21" s="6" t="n">
        <ns0:f>MAX('Q2_运输架次'!G17)</ns0:f>
        <ns0:v>4782.4924699163785</ns0:v>
      </ns0:c>
      <ns0:c r="H21" s="6" t="n">
        <ns0:f>MAX('核验_架次详情'!H17)</ns0:f>
        <ns0:v>7282.241786157385</ns0:v>
      </ns0:c>
      <ns0:c r="I21" s="7" t="n"/>
    </ns0:row>
    <ns0:row r="22" ht="25" customHeight="1">
      <ns0:c r="A22" s="2" t="inlineStr">
        <ns0:is>
          <ns0:t>共享电池</ns0:t>
        </ns0:is>
      </ns0:c>
      <ns0:c r="B22" s="2" t="inlineStr">
        <ns0:is>
          <ns0:t>C-BAT-03</ns0:t>
        </ns0:is>
      </ns0:c>
      <ns0:c r="C22" s="2" t="inlineStr">
        <ns0:is>
          <ns0:t>C</ns0:t>
        </ns0:is>
      </ns0:c>
      <ns0:c r="D22" s="4" t="n">
        <ns0:f>COUNTA('Q2_运输架次'!A9,'Q2_运输架次'!A20)</ns0:f>
        <ns0:v>2</ns0:v>
      </ns0:c>
      <ns0:c r="E22" s="6" t="n">
        <ns0:f>SUM('核验_架次详情'!I9,'核验_架次详情'!I20)</ns0:f>
        <ns0:v>4194.352756961283</ns0:v>
      </ns0:c>
      <ns0:c r="F22" s="6" t="n">
        <ns0:f>SUM('核验_架次详情'!J9,'核验_架次详情'!J20)</ns0:f>
        <ns0:v>4169.767895847911</ns0:v>
      </ns0:c>
      <ns0:c r="G22" s="6" t="n">
        <ns0:f>MAX('Q2_运输架次'!G9,'Q2_运输架次'!G20)</ns0:f>
        <ns0:v>6368.194922985838</ns0:v>
      </ns0:c>
      <ns0:c r="H22" s="6" t="n">
        <ns0:f>MAX('核验_架次详情'!H9,'核验_架次详情'!H20)</ns0:f>
        <ns0:v>8914.439773903563</ns0:v>
      </ns0:c>
      <ns0:c r="I22" s="7" t="n"/>
    </ns0:row>
    <ns0:row r="23" ht="25" customHeight="1">
      <ns0:c r="A23" s="2" t="inlineStr">
        <ns0:is>
          <ns0:t>共享电池</ns0:t>
        </ns0:is>
      </ns0:c>
      <ns0:c r="B23" s="2" t="inlineStr">
        <ns0:is>
          <ns0:t>C-BAT-04</ns0:t>
        </ns0:is>
      </ns0:c>
      <ns0:c r="C23" s="2" t="inlineStr">
        <ns0:is>
          <ns0:t>C</ns0:t>
        </ns0:is>
      </ns0:c>
      <ns0:c r="D23" s="4" t="n">
        <ns0:f>COUNTA('Q2_运输架次'!A13)</ns0:f>
        <ns0:v>1</ns0:v>
      </ns0:c>
      <ns0:c r="E23" s="6" t="n">
        <ns0:f>SUM('核验_架次详情'!I13)</ns0:f>
        <ns0:v>2173.842166024555</ns0:v>
      </ns0:c>
      <ns0:c r="F23" s="6" t="n">
        <ns0:f>SUM('核验_架次详情'!J13)</ns0:f>
        <ns0:v>2534.440318840122</ns0:v>
      </ns0:c>
      <ns0:c r="G23" s="6" t="n">
        <ns0:f>MAX('Q2_运输架次'!G13)</ns0:f>
        <ns0:v>3866.0172118865776</ns0:v>
      </ns0:c>
      <ns0:c r="H23" s="6" t="n">
        <ns0:f>MAX('核验_架次详情'!H13)</ns0:f>
        <ns0:v>6400.4575307267</ns0:v>
      </ns0:c>
      <ns0:c r="I23" s="7" t="n"/>
    </ns0:row>
  </ns0:sheetData>
  <ns0:autoFilter ref="A1:I23"/>
  <ns0:pageMargins left="0.75" right="0.75" top="1" bottom="1" header="0.5" footer="0.5"/>
  <ns0:pageSetup orientation="landscape" paperSize="8" fitToHeight="0" fitToWidth="1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J12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20" customWidth="1" min="2" max="2"/>
    <ns0:col width="17" customWidth="1" min="3" max="3"/>
    <ns0:col width="22" customWidth="1" min="4" max="4"/>
    <ns0:col width="23" customWidth="1" min="5" max="5"/>
    <ns0:col width="23" customWidth="1" min="6" max="6"/>
    <ns0:col width="20" customWidth="1" min="7" max="7"/>
    <ns0:col width="21" customWidth="1" min="8" max="8"/>
    <ns0:col width="21" customWidth="1" min="9" max="9"/>
    <ns0:col width="75" customWidth="1" min="10" max="10"/>
  </ns0:cols>
  <ns0:sheetData>
    <ns0:row r="1" ht="38" customHeight="1">
      <ns0:c r="A1" s="1" t="inlineStr">
        <ns0:is>
          <ns0:t>方案编号</ns0:t>
        </ns0:is>
      </ns0:c>
      <ns0:c r="B1" s="1" t="inlineStr">
        <ns0:is>
          <ns0:t>最终提交标记</ns0:t>
        </ns0:is>
      </ns0:c>
      <ns0:c r="C1" s="1" t="inlineStr">
        <ns0:is>
          <ns0:t>架次数N</ns0:t>
        </ns0:is>
      </ns0:c>
      <ns0:c r="D1" s="1" t="inlineStr">
        <ns0:is>
          <ns0:t>能耗kWh</ns0:t>
        </ns0:is>
      </ns0:c>
      <ns0:c r="E1" s="1" t="inlineStr">
        <ns0:is>
          <ns0:t>最晚返场s</ns0:t>
        </ns0:is>
      </ns0:c>
      <ns0:c r="F1" s="1" t="inlineStr">
        <ns0:is>
          <ns0:t>加权迟到s</ns0:t>
        </ns0:is>
      </ns0:c>
      <ns0:c r="G1" s="1" t="inlineStr">
        <ns0:is>
          <ns0:t>软箱迟到箱数</ns0:t>
        </ns0:is>
      </ns0:c>
      <ns0:c r="H1" s="1" t="inlineStr">
        <ns0:is>
          <ns0:t>遗憾下界</ns0:t>
        </ns0:is>
      </ns0:c>
      <ns0:c r="I1" s="1" t="inlineStr">
        <ns0:is>
          <ns0:t>遗憾上界</ns0:t>
        </ns0:is>
      </ns0:c>
      <ns0:c r="J1" s="1" t="inlineStr">
        <ns0:is>
          <ns0:t>方案来源</ns0:t>
        </ns0:is>
      </ns0:c>
    </ns0:row>
    <ns0:row r="2" ht="25" customHeight="1">
      <ns0:c r="A2" s="2" t="inlineStr">
        <ns0:is>
          <ns0:t>PF0001</ns0:t>
        </ns0:is>
      </ns0:c>
      <ns0:c r="B2" s="7" t="b">
        <ns0:v>1</ns0:v>
      </ns0:c>
      <ns0:c r="C2" s="4" t="n">
        <ns0:v>25</ns0:v>
      </ns0:c>
      <ns0:c r="D2" s="6" t="n">
        <ns0:v>71.31909210428417</ns0:v>
      </ns0:c>
      <ns0:c r="E2" s="6" t="n">
        <ns0:v>6672.014331816174</ns0:v>
      </ns0:c>
      <ns0:c r="F2" s="6" t="n">
        <ns0:v>0</ns0:v>
      </ns0:c>
      <ns0:c r="G2" s="4" t="n">
        <ns0:v>0</ns0:v>
      </ns0:c>
      <ns0:c r="H2" s="6" t="n">
        <ns0:v>0.05859641572496166</ns0:v>
      </ns0:c>
      <ns0:c r="I2" s="6" t="n">
        <ns0:v>0.3959623629643847</ns0:v>
      </ns0:c>
      <ns0:c r="J2" s="2" t="inlineStr">
        <ns0:is>
          <ns0:t>terminal_of_all_resources_polish_of_terminal_of_expanded_worker_4_step_56</ns0:t>
        </ns0:is>
      </ns0:c>
    </ns0:row>
    <ns0:row r="3" ht="25" customHeight="1">
      <ns0:c r="A3" s="2" t="inlineStr">
        <ns0:is>
          <ns0:t>PF0002</ns0:t>
        </ns0:is>
      </ns0:c>
      <ns0:c r="B3" s="7" t="b">
        <ns0:v>0</ns0:v>
      </ns0:c>
      <ns0:c r="C3" s="4" t="n">
        <ns0:v>23</ns0:v>
      </ns0:c>
      <ns0:c r="D3" s="6" t="n">
        <ns0:v>68.14991640976821</ns0:v>
      </ns0:c>
      <ns0:c r="E3" s="6" t="n">
        <ns0:v>7066.62791044095</ns0:v>
      </ns0:c>
      <ns0:c r="F3" s="6" t="n">
        <ns0:v>0</ns0:v>
      </ns0:c>
      <ns0:c r="G3" s="4" t="n">
        <ns0:v>0</ns0:v>
      </ns0:c>
      <ns0:c r="H3" s="6" t="n">
        <ns0:v>0.05701865034111053</ns0:v>
      </ns0:c>
      <ns0:c r="I3" s="6" t="n">
        <ns0:v>0.4349470858156352</ns0:v>
      </ns0:c>
      <ns0:c r="J3" s="2" t="inlineStr">
        <ns0:is>
          <ns0:t>terminal_of_all_resources_polish_of_direct_expanded_equal_preference</ns0:t>
        </ns0:is>
      </ns0:c>
    </ns0:row>
    <ns0:row r="4" ht="25" customHeight="1">
      <ns0:c r="A4" s="2" t="inlineStr">
        <ns0:is>
          <ns0:t>PF0003</ns0:t>
        </ns0:is>
      </ns0:c>
      <ns0:c r="B4" s="7" t="b">
        <ns0:v>0</ns0:v>
      </ns0:c>
      <ns0:c r="C4" s="4" t="n">
        <ns0:v>22</ns0:v>
      </ns0:c>
      <ns0:c r="D4" s="6" t="n">
        <ns0:v>67.35998571793408</ns0:v>
      </ns0:c>
      <ns0:c r="E4" s="6" t="n">
        <ns0:v>7831.124655517117</ns0:v>
      </ns0:c>
      <ns0:c r="F4" s="6" t="n">
        <ns0:v>51.21449236346475</ns0:v>
      </ns0:c>
      <ns0:c r="G4" s="4" t="n">
        <ns0:v>2</ns0:v>
      </ns0:c>
      <ns0:c r="H4" s="6" t="n">
        <ns0:v>0.262669132906618</ns0:v>
      </ns0:c>
      <ns0:c r="I4" s="6" t="n">
        <ns0:v>0.6405975683811427</ns0:v>
      </ns0:c>
      <ns0:c r="J4" s="2" t="inlineStr">
        <ns0:is>
          <ns0:t>terminal_of_all_resources_polish_of_expanded_worker_3_step_56</ns0:t>
        </ns0:is>
      </ns0:c>
    </ns0:row>
    <ns0:row r="5" ht="25" customHeight="1">
      <ns0:c r="A5" s="2" t="inlineStr">
        <ns0:is>
          <ns0:t>PF0004</ns0:t>
        </ns0:is>
      </ns0:c>
      <ns0:c r="B5" s="7" t="b">
        <ns0:v>0</ns0:v>
      </ns0:c>
      <ns0:c r="C5" s="4" t="n">
        <ns0:v>23</ns0:v>
      </ns0:c>
      <ns0:c r="D5" s="6" t="n">
        <ns0:v>66.29741292296062</ns0:v>
      </ns0:c>
      <ns0:c r="E5" s="6" t="n">
        <ns0:v>7881.646246218171</ns0:v>
      </ns0:c>
      <ns0:c r="F5" s="6" t="n">
        <ns0:v>37.64777524470868</ns0:v>
      </ns0:c>
      <ns0:c r="G5" s="4" t="n">
        <ns0:v>2</ns0:v>
      </ns0:c>
      <ns0:c r="H5" s="6" t="n">
        <ns0:v>0.2721621511403041</ns0:v>
      </ns0:c>
      <ns0:c r="I5" s="6" t="n">
        <ns0:v>0.6429755074646053</ns0:v>
      </ns0:c>
      <ns0:c r="J5" s="2" t="inlineStr">
        <ns0:is>
          <ns0:t>terminal_of_all_resources_polish_of_terminal_of_expanded_worker_0_step_67</ns0:t>
        </ns0:is>
      </ns0:c>
    </ns0:row>
    <ns0:row r="6" ht="38" customHeight="1">
      <ns0:c r="A6" s="2" t="inlineStr">
        <ns0:is>
          <ns0:t>PF0005</ns0:t>
        </ns0:is>
      </ns0:c>
      <ns0:c r="B6" s="7" t="b">
        <ns0:v>0</ns0:v>
      </ns0:c>
      <ns0:c r="C6" s="4" t="n">
        <ns0:v>21</ns0:v>
      </ns0:c>
      <ns0:c r="D6" s="6" t="n">
        <ns0:v>67.32235979591468</ns0:v>
      </ns0:c>
      <ns0:c r="E6" s="6" t="n">
        <ns0:v>8013.646246218171</ns0:v>
      </ns0:c>
      <ns0:c r="F6" s="6" t="n">
        <ns0:v>0</ns0:v>
      </ns0:c>
      <ns0:c r="G6" s="4" t="n">
        <ns0:v>0</ns0:v>
      </ns0:c>
      <ns0:c r="H6" s="6" t="n">
        <ns0:v>0.2735181965170881</ns0:v>
      </ns0:c>
      <ns0:c r="I6" s="6" t="n">
        <ns0:v>0.6514466319916128</ns0:v>
      </ns0:c>
      <ns0:c r="J6" s="2" t="inlineStr">
        <ns0:is>
          <ns0:t>terminal_of_all_resources_polish_of_terminal_of_initializer_seed_20260975_mode_3</ns0:t>
        </ns0:is>
      </ns0:c>
    </ns0:row>
    <ns0:row r="7" ht="25" customHeight="1">
      <ns0:c r="A7" s="2" t="inlineStr">
        <ns0:is>
          <ns0:t>PF0006</ns0:t>
        </ns0:is>
      </ns0:c>
      <ns0:c r="B7" s="7" t="b">
        <ns0:v>0</ns0:v>
      </ns0:c>
      <ns0:c r="C7" s="4" t="n">
        <ns0:v>22</ns0:v>
      </ns0:c>
      <ns0:c r="D7" s="6" t="n">
        <ns0:v>64.39226926687159</ns0:v>
      </ns0:c>
      <ns0:c r="E7" s="6" t="n">
        <ns0:v>8337.140388078022</ns0:v>
      </ns0:c>
      <ns0:c r="F7" s="6" t="n">
        <ns0:v>42.23839207874445</ns0:v>
      </ns0:c>
      <ns0:c r="G7" s="4" t="n">
        <ns0:v>2</ns0:v>
      </ns0:c>
      <ns0:c r="H7" s="6" t="n">
        <ns0:v>0.3652626767266685</ns0:v>
      </ns0:c>
      <ns0:c r="I7" s="6" t="n">
        <ns0:v>0.7357890116857799</ns0:v>
      </ns0:c>
      <ns0:c r="J7" s="2" t="inlineStr">
        <ns0:is>
          <ns0:t>terminal_of_all_resources_polish_of_expanded_worker_2_step_19</ns0:t>
        </ns0:is>
      </ns0:c>
    </ns0:row>
    <ns0:row r="8" ht="25" customHeight="1">
      <ns0:c r="A8" s="2" t="inlineStr">
        <ns0:is>
          <ns0:t>PF0007</ns0:t>
        </ns0:is>
      </ns0:c>
      <ns0:c r="B8" s="7" t="b">
        <ns0:v>0</ns0:v>
      </ns0:c>
      <ns0:c r="C8" s="4" t="n">
        <ns0:v>22</ns0:v>
      </ns0:c>
      <ns0:c r="D8" s="6" t="n">
        <ns0:v>64.56560504372038</ns0:v>
      </ns0:c>
      <ns0:c r="E8" s="6" t="n">
        <ns0:v>8427.071898766839</ns0:v>
      </ns0:c>
      <ns0:c r="F8" s="6" t="n">
        <ns0:v>0</ns0:v>
      </ns0:c>
      <ns0:c r="G8" s="4" t="n">
        <ns0:v>0</ns0:v>
      </ns0:c>
      <ns0:c r="H8" s="6" t="n">
        <ns0:v>0.3654279815538315</ns0:v>
      </ns0:c>
      <ns0:c r="I8" s="6" t="n">
        <ns0:v>0.7368902610723449</ns0:v>
      </ns0:c>
      <ns0:c r="J8" s="2" t="inlineStr">
        <ns0:is>
          <ns0:t>terminal_of_all_resources_polish_of_expanded_worker_2_step_13</ns0:t>
        </ns0:is>
      </ns0:c>
    </ns0:row>
    <ns0:row r="9" ht="25" customHeight="1">
      <ns0:c r="A9" s="2" t="inlineStr">
        <ns0:is>
          <ns0:t>PF0008</ns0:t>
        </ns0:is>
      </ns0:c>
      <ns0:c r="B9" s="7" t="b">
        <ns0:v>0</ns0:v>
      </ns0:c>
      <ns0:c r="C9" s="4" t="n">
        <ns0:v>23</ns0:v>
      </ns0:c>
      <ns0:c r="D9" s="6" t="n">
        <ns0:v>63.26021230769617</ns0:v>
      </ns0:c>
      <ns0:c r="E9" s="6" t="n">
        <ns0:v>9069.567244129956</ns0:v>
      </ns0:c>
      <ns0:c r="F9" s="6" t="n">
        <ns0:v>109.8013979897079</ns0:v>
      </ns0:c>
      <ns0:c r="G9" s="4" t="n">
        <ns0:v>3</ns0:v>
      </ns0:c>
      <ns0:c r="H9" s="6" t="n">
        <ns0:v>0.5981438889784916</ns0:v>
      </ns0:c>
      <ns0:c r="I9" s="6" t="n">
        <ns0:v>0.96833480601041</ns0:v>
      </ns0:c>
      <ns0:c r="J9" s="2" t="inlineStr">
        <ns0:is>
          <ns0:t>terminal_of_ALNS_comparison</ns0:t>
        </ns0:is>
      </ns0:c>
    </ns0:row>
    <ns0:row r="10" ht="25" customHeight="1">
      <ns0:c r="A10" s="2" t="inlineStr">
        <ns0:is>
          <ns0:t>PF0009</ns0:t>
        </ns0:is>
      </ns0:c>
      <ns0:c r="B10" s="7" t="b">
        <ns0:v>0</ns0:v>
      </ns0:c>
      <ns0:c r="C10" s="4" t="n">
        <ns0:v>21</ns0:v>
      </ns0:c>
      <ns0:c r="D10" s="6" t="n">
        <ns0:v>62.72052529403814</ns0:v>
      </ns0:c>
      <ns0:c r="E10" s="6" t="n">
        <ns0:v>9584.298606161949</ns0:v>
      </ns0:c>
      <ns0:c r="F10" s="6" t="n">
        <ns0:v>203.276787348801</ns0:v>
      </ns0:c>
      <ns0:c r="G10" s="4" t="n">
        <ns0:v>4</ns0:v>
      </ns0:c>
      <ns0:c r="H10" s="6" t="n">
        <ns0:v>0.7427175337075984</ns0:v>
      </ns0:c>
      <ns0:c r="I10" s="6" t="n">
        <ns0:v>1.114217113172078</ns0:v>
      </ns0:c>
      <ns0:c r="J10" s="2" t="inlineStr">
        <ns0:is>
          <ns0:t>terminal_of_all_resources_polish_of_terminal_of_expanded_worker_7_step_49</ns0:t>
        </ns0:is>
      </ns0:c>
    </ns0:row>
    <ns0:row r="11" ht="25" customHeight="1">
      <ns0:c r="A11" s="2" t="inlineStr">
        <ns0:is>
          <ns0:t>PF0010</ns0:t>
        </ns0:is>
      </ns0:c>
      <ns0:c r="B11" s="7" t="b">
        <ns0:v>0</ns0:v>
      </ns0:c>
      <ns0:c r="C11" s="4" t="n">
        <ns0:v>20</ns0:v>
      </ns0:c>
      <ns0:c r="D11" s="6" t="n">
        <ns0:v>60.9175261527664</ns0:v>
      </ns0:c>
      <ns0:c r="E11" s="6" t="n">
        <ns0:v>9163.548863052571</ns0:v>
      </ns0:c>
      <ns0:c r="F11" s="6" t="n">
        <ns0:v>446.6241979037055</ns0:v>
      </ns0:c>
      <ns0:c r="G11" s="4" t="n">
        <ns0:v>5</ns0:v>
      </ns0:c>
      <ns0:c r="H11" s="6" t="n">
        <ns0:v>0.7465998925396491</ns0:v>
      </ns0:c>
      <ns0:c r="I11" s="6" t="n">
        <ns0:v>1.118363990572899</ns0:v>
      </ns0:c>
      <ns0:c r="J11" s="2" t="inlineStr">
        <ns0:is>
          <ns0:t>terminal_of_all_resources_polish_of_expanded_worker_0_step_24</ns0:t>
        </ns0:is>
      </ns0:c>
    </ns0:row>
    <ns0:row r="12" ht="25" customHeight="1">
      <ns0:c r="A12" s="2" t="inlineStr">
        <ns0:is>
          <ns0:t>PF0011</ns0:t>
        </ns0:is>
      </ns0:c>
      <ns0:c r="B12" s="7" t="b">
        <ns0:v>0</ns0:v>
      </ns0:c>
      <ns0:c r="C12" s="4" t="n">
        <ns0:v>20</ns0:v>
      </ns0:c>
      <ns0:c r="D12" s="6" t="n">
        <ns0:v>60.70497216913841</ns0:v>
      </ns0:c>
      <ns0:c r="E12" s="6" t="n">
        <ns0:v>9163.548863052571</ns0:v>
      </ns0:c>
      <ns0:c r="F12" s="6" t="n">
        <ns0:v>520.7998072166125</ns0:v>
      </ns0:c>
      <ns0:c r="G12" s="4" t="n">
        <ns0:v>6</ns0:v>
      </ns0:c>
      <ns0:c r="H12" s="6" t="n">
        <ns0:v>0.7862104818069398</ns0:v>
      </ns0:c>
      <ns0:c r="I12" s="6" t="n">
        <ns0:v>1.156826872493371</ns0:v>
      </ns0:c>
      <ns0:c r="J12" s="2" t="inlineStr">
        <ns0:is>
          <ns0:t>terminal_of_fixed_original_resources_lateness_repair</ns0:t>
        </ns0:is>
      </ns0:c>
    </ns0:row>
  </ns0:sheetData>
  <ns0:autoFilter ref="A1:J12"/>
  <ns0:pageMargins left="0.75" right="0.75" top="1" bottom="1" header="0.5" footer="0.5"/>
  <ns0:pageSetup orientation="landscape" paperSize="8" fitToHeight="0" fitToWidth="1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B30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34" customWidth="1" min="1" max="1"/>
    <ns0:col width="112" customWidth="1" min="2" max="2"/>
  </ns0:cols>
  <ns0:sheetData>
    <ns0:row r="1" ht="38" customHeight="1">
      <ns0:c r="A1" s="8" t="inlineStr">
        <ns0:is>
          <ns0:t>项目</ns0:t>
        </ns0:is>
      </ns0:c>
      <ns0:c r="B1" s="8" t="inlineStr">
        <ns0:is>
          <ns0:t>内容</ns0:t>
        </ns0:is>
      </ns0:c>
    </ns0:row>
    <ns0:row r="2" ht="25" customHeight="1">
      <ns0:c r="A2" s="2" t="inlineStr">
        <ns0:is>
          <ns0:t>本次结果定位</ns0:t>
        </ns0:is>
      </ns0:c>
      <ns0:c r="B2" s="2" t="inlineStr">
        <ns0:is>
          <ns0:t>仅O01换电的可行基准；不代表允许服务区途中换电的完整专家规则下的全局结果。</ns0:t>
        </ns0:is>
      </ns0:c>
    </ns0:row>
    <ns0:row r="3" ht="25" customHeight="1">
      <ns0:c r="A3" s="2" t="inlineStr">
        <ns0:is>
          <ns0:t>专家补充（用户原话记录）</ns0:t>
        </ns0:is>
      </ns0:c>
      <ns0:c r="B3" s="2" t="inlineStr">
        <ns0:is>
          <ns0:t>不能携带备用电池；可在有电池地方更换不限O01；初始共享电池都在O01。</ns0:t>
        </ns0:is>
      </ns0:c>
    </ns0:row>
    <ns0:row r="4" ht="25" customHeight="1">
      <ns0:c r="A4" s="2" t="inlineStr">
        <ns0:is>
          <ns0:t>基准能源安排</ns0:t>
        </ns0:is>
      </ns0:c>
      <ns0:c r="B4" s="2" t="inlineStr">
        <ns0:is>
          <ns0:t>本方案每架次绑定一块电池，全程不携带备用电池，换电均在O01；服务区初始电池库存为0。</ns0:t>
        </ns0:is>
      </ns0:c>
    </ns0:row>
    <ns0:row r="5" ht="25" customHeight="1">
      <ns0:c r="A5" s="2" t="inlineStr">
        <ns0:is>
          <ns0:t>尚待明确的专家规则</ns0:t>
        </ns0:is>
      </ns0:c>
      <ns0:c r="B5" s="2" t="inlineStr">
        <ns0:is>
          <ns0:t>服务区能否充电、途中换电是否必须满电尚待确认；本导出不设服务区充电能力或额外库存。</ns0:t>
        </ns0:is>
      </ns0:c>
    </ns0:row>
    <ns0:row r="6" ht="25" customHeight="1">
      <ns0:c r="A6" s="2" t="inlineStr">
        <ns0:is>
          <ns0:t>最终方案来源</ns0:t>
        </ns0:is>
      </ns0:c>
      <ns0:c r="B6" s="2" t="inlineStr">
        <ns0:is>
          <ns0:t>terminal_of_all_resources_polish_of_terminal_of_expanded_worker_4_step_56</ns0:t>
        </ns0:is>
      </ns0:c>
    </ns0:row>
    <ns0:row r="7" ht="25" customHeight="1">
      <ns0:c r="A7" s="2" t="inlineStr">
        <ns0:is>
          <ns0:t>最终方案文件</ns0:t>
        </ns0:is>
      </ns0:c>
      <ns0:c r="B7" s="2" t="inlineStr">
        <ns0:is>
          <ns0:t>D:\研究生\比赛\数学建模\2026\问题二\改进搜索_20260924\最终方案.json</ns0:t>
        </ns0:is>
      </ns0:c>
    </ns0:row>
    <ns0:row r="8" ht="25" customHeight="1">
      <ns0:c r="A8" s="2" t="inlineStr">
        <ns0:is>
          <ns0:t>最终方案SHA256</ns0:t>
        </ns0:is>
      </ns0:c>
      <ns0:c r="B8" s="2" t="inlineStr">
        <ns0:is>
          <ns0:t>1939cce13167720a7e36a7a9fff3f3032b89486fda4124d3dafc733fb09f6b26</ns0:t>
        </ns0:is>
      </ns0:c>
    </ns0:row>
    <ns0:row r="9" ht="25" customHeight="1">
      <ns0:c r="A9" s="2" t="inlineStr">
        <ns0:is>
          <ns0:t>非支配档案文件</ns0:t>
        </ns0:is>
      </ns0:c>
      <ns0:c r="B9" s="2" t="inlineStr">
        <ns0:is>
          <ns0:t>D:\研究生\比赛\数学建模\2026\问题二\改进搜索_20260924\联合非支配档案.json</ns0:t>
        </ns0:is>
      </ns0:c>
    </ns0:row>
    <ns0:row r="10" ht="25" customHeight="1">
      <ns0:c r="A10" s="2" t="inlineStr">
        <ns0:is>
          <ns0:t>档案SHA256</ns0:t>
        </ns0:is>
      </ns0:c>
      <ns0:c r="B10" s="2" t="inlineStr">
        <ns0:is>
          <ns0:t>deadacd5b16073630b7ba78329be0b4748ccb34568b7aa4a0502f0263b68490b</ns0:t>
        </ns0:is>
      </ns0:c>
    </ns0:row>
    <ns0:row r="11" ht="25" customHeight="1">
      <ns0:c r="A11" s="2" t="inlineStr">
        <ns0:is>
          <ns0:t>格式参考</ns0:t>
        </ns0:is>
      </ns0:c>
      <ns0:c r="B11" s="2" t="inlineStr">
        <ns0:is>
          <ns0:t>D:\研究生\比赛\数学建模\2026\问题二\问题二_结果提交.xlsx</ns0:t>
        </ns0:is>
      </ns0:c>
    </ns0:row>
    <ns0:row r="12" ht="25" customHeight="1">
      <ns0:c r="A12" s="2" t="inlineStr">
        <ns0:is>
          <ns0:t>参考工作簿SHA256</ns0:t>
        </ns0:is>
      </ns0:c>
      <ns0:c r="B12" s="2" t="inlineStr">
        <ns0:is>
          <ns0:t>709d3b6f99a0d4cfb61de01bc7c1ea77f168e96d1f905891fff65643093faa23</ns0:t>
        </ns0:is>
      </ns0:c>
    </ns0:row>
    <ns0:row r="13" ht="25" customHeight="1">
      <ns0:c r="A13" s="2" t="inlineStr">
        <ns0:is>
          <ns0:t>资源库存依据</ns0:t>
        </ns0:is>
      </ns0:c>
      <ns0:c r="B13" s="2" t="inlineStr">
        <ns0:is>
          <ns0:t>D:\研究生\比赛\数学建模\2026\D题\数据\无人机应急物资运输基础数据\运输无人机数据.xlsx</ns0:t>
        </ns0:is>
      </ns0:c>
    </ns0:row>
    <ns0:row r="14" ht="25" customHeight="1">
      <ns0:c r="A14" s="2" t="inlineStr">
        <ns0:is>
          <ns0:t>资源库存SHA256</ns0:t>
        </ns0:is>
      </ns0:c>
      <ns0:c r="B14" s="2" t="inlineStr">
        <ns0:is>
          <ns0:t>9296a657c07e042afba6aeea7999665d9cd24e00b592fd6c269de6e338480dcb</ns0:t>
        </ns0:is>
      </ns0:c>
    </ns0:row>
    <ns0:row r="15" ht="25" customHeight="1">
      <ns0:c r="A15" s="2" t="inlineStr">
        <ns0:is>
          <ns0:t>提交范围</ns0:t>
        </ns0:is>
      </ns0:c>
      <ns0:c r="B15" s="2" t="inlineStr">
        <ns0:is>
          <ns0:t>Q2_运输架次与Q2_逐箱交付仅含最终方案；联合非支配档案独立列示备选指标。</ns0:t>
        </ns0:is>
      </ns0:c>
    </ns0:row>
    <ns0:row r="16" ht="25" customHeight="1">
      <ns0:c r="A16" s="2" t="inlineStr">
        <ns0:is>
          <ns0:t>仅O01换电基准的搜索范围</ns0:t>
        </ns0:is>
      </ns0:c>
      <ns0:c r="B16" s="2" t="inlineStr">
        <ns0:is>
          <ns0:t>Expanded finite-library heuristic search with certified relaxation lower bounds; no full-route optimum claim</ns0:t>
        </ns0:is>
      </ns0:c>
    </ns0:row>
    <ns0:row r="17" ht="25" customHeight="1">
      <ns0:c r="A17" s="2" t="inlineStr">
        <ns0:is>
          <ns0:t>初始候选库数</ns0:t>
        </ns0:is>
      </ns0:c>
      <ns0:c r="B17" s="6" t="n">
        <ns0:v>26192</ns0:v>
      </ns0:c>
    </ns0:row>
    <ns0:row r="18" ht="25" customHeight="1">
      <ns0:c r="A18" s="2" t="inlineStr">
        <ns0:is>
          <ns0:t>最终评价候选库数</ns0:t>
        </ns0:is>
      </ns0:c>
      <ns0:c r="B18" s="6" t="n">
        <ns0:v>28216</ns0:v>
      </ns0:c>
    </ns0:row>
    <ns0:row r="19" ht="25" customHeight="1">
      <ns0:c r="A19" s="2" t="inlineStr">
        <ns0:is>
          <ns0:t>最终候选系数SHA256</ns0:t>
        </ns0:is>
      </ns0:c>
      <ns0:c r="B19" s="2" t="inlineStr">
        <ns0:is>
          <ns0:t>96c73b04ebaeb105368e4298d3bd871ceab92c6734e580a835a9988780dc4058</ns0:t>
        </ns0:is>
      </ns0:c>
    </ns0:row>
    <ns0:row r="20" ht="25" customHeight="1">
      <ns0:c r="A20" s="2" t="inlineStr">
        <ns0:is>
          <ns0:t>候选库是否完整</ns0:t>
        </ns0:is>
      </ns0:c>
      <ns0:c r="B20" s="7" t="b">
        <ns0:v>0</ns0:v>
      </ns0:c>
    </ns0:row>
    <ns0:row r="21" ht="25" customHeight="1">
      <ns0:c r="A21" s="2" t="inlineStr">
        <ns0:is>
          <ns0:t>物理模型</ns0:t>
        </ns0:is>
      </ns0:c>
      <ns0:c r="B21" s="2" t="inlineStr">
        <ns0:is>
          <ns0:t>Same audited q2_data physical assumptions; no parameter tuning against external answers</ns0:t>
        </ns0:is>
      </ns0:c>
    </ns0:row>
    <ns0:row r="22" ht="25" customHeight="1">
      <ns0:c r="A22" s="2" t="inlineStr">
        <ns0:is>
          <ns0:t>软迟到定义</ns0:t>
        </ns0:is>
      </ns0:c>
      <ns0:c r="B22" s="2" t="inlineStr">
        <ns0:is>
          <ns0:t>软箱为既非医疗也非首批；逐箱L列为正迟到，M列为软箱权，N列为两者乘积。</ns0:t>
        </ns0:is>
      </ns0:c>
    </ns0:row>
    <ns0:row r="23" ht="25" customHeight="1">
      <ns0:c r="A23" s="2" t="inlineStr">
        <ns0:is>
          <ns0:t>资源占用</ns0:t>
        </ns0:is>
      </ns0:c>
      <ns0:c r="B23" s="2" t="inlineStr">
        <ns0:is>
          <ns0:t>无人机任务区间[准备开始,返场]；电池任务同区间，返场后充至满电才可复用。资源事件包括最后一次任务后的充电。</ns0:t>
        </ns0:is>
      </ns0:c>
    </ns0:row>
    <ns0:row r="24" ht="25" customHeight="1">
      <ns0:c r="A24" s="2" t="inlineStr">
        <ns0:is>
          <ns0:t>时间单位</ns0:t>
        </ns0:is>
      </ns0:c>
      <ns0:c r="B24" s="2" t="inlineStr">
        <ns0:is>
          <ns0:t>所有任务时刻、持续时间、充电时间与迟到值均为秒；开始时刻指开始准备。</ns0:t>
        </ns0:is>
      </ns0:c>
    </ns0:row>
    <ns0:row r="25" ht="25" customHeight="1">
      <ns0:c r="A25" s="2" t="inlineStr">
        <ns0:is>
          <ns0:t>返航SOC</ns0:t>
        </ns0:is>
      </ns0:c>
      <ns0:c r="B25" s="2" t="inlineStr">
        <ns0:is>
          <ns0:t>核验_架次详情G列为0–1数值，以百分比格式显示。</ns0:t>
        </ns0:is>
      </ns0:c>
    </ns0:row>
    <ns0:row r="26" ht="25" customHeight="1">
      <ns0:c r="A26" s="2" t="inlineStr">
        <ns0:is>
          <ns0:t>遗憾解释</ns0:t>
        </ns0:is>
      </ns0:c>
      <ns0:c r="B26" s="2" t="inlineStr">
        <ns0:is>
          <ns0:t>来自输入JSON中共同档案/候选范围的上下界；导出不重新证明稳健最优性，不与异库界无条件比较。</ns0:t>
        </ns0:is>
      </ns0:c>
    </ns0:row>
    <ns0:row r="27" ht="25" customHeight="1">
      <ns0:c r="A27" s="2" t="inlineStr">
        <ns0:is>
          <ns0:t>公式缓存</ns0:t>
        </ns0:is>
      </ns0:c>
      <ns0:c r="B27" s="2" t="inlineStr">
        <ns0:is>
          <ns0:t>Excel公式保留，Python有限公式解释器从工作簿单元格重算缓存；Excel打开时自动重算。</ns0:t>
        </ns0:is>
      </ns0:c>
    </ns0:row>
    <ns0:row r="28" ht="25" customHeight="1">
      <ns0:c r="A28" s="2" t="inlineStr">
        <ns0:is>
          <ns0:t>独立核验是否匹配本方案</ns0:t>
        </ns0:is>
      </ns0:c>
      <ns0:c r="B28" s="7" t="b">
        <ns0:v>1</ns0:v>
      </ns0:c>
    </ns0:row>
    <ns0:row r="29" ht="25" customHeight="1">
      <ns0:c r="A29" s="2" t="inlineStr">
        <ns0:is>
          <ns0:t>匹配核验记录all</ns0:t>
        </ns0:is>
      </ns0:c>
      <ns0:c r="B29" s="7" t="b">
        <ns0:v>1</ns0:v>
      </ns0:c>
    </ns0:row>
    <ns0:row r="30" ht="25" customHeight="1">
      <ns0:c r="A30" s="2" t="inlineStr">
        <ns0:is>
          <ns0:t>导出核验边界</ns0:t>
        </ns0:is>
      </ns0:c>
      <ns0:c r="B30" s="2" t="inlineStr">
        <ns0:is>
          <ns0:t>检查输入一致性、覆盖去重、资源重叠、硬时限、公式与typed数值；不替代DEM/物理模型独立审查。</ns0:t>
        </ns0:is>
      </ns0:c>
    </ns0:row>
  </ns0:sheetData>
  <ns0:pageMargins left="0.75" right="0.75" top="1" bottom="1" header="0.5" footer="0.5"/>
  <ns0:pageSetup orientation="landscape" paperSize="8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2026-09-23T20:40:11Z</dcterms:created>
  <dcterms:modified xmlns:dcterms="http://purl.org/dc/terms/" xmlns:xsi="http://www.w3.org/2001/XMLSchema-instance" xsi:type="dcterms:W3CDTF">2026-09-23T20:40:11Z</dcterms:modified>
</cp:coreProperties>
</file>